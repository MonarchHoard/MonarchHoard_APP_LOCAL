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archHoard.com\Database\"/>
    </mc:Choice>
  </mc:AlternateContent>
  <xr:revisionPtr revIDLastSave="0" documentId="13_ncr:1_{8ADC8DBD-F49F-4902-A8C6-7B1433EAB62D}" xr6:coauthVersionLast="47" xr6:coauthVersionMax="47" xr10:uidLastSave="{00000000-0000-0000-0000-000000000000}"/>
  <bookViews>
    <workbookView xWindow="-120" yWindow="-120" windowWidth="29040" windowHeight="15990" xr2:uid="{6F6DB2F9-3ECB-4B1F-A605-4B44ED945EB8}"/>
  </bookViews>
  <sheets>
    <sheet name="SL1E" sheetId="3" r:id="rId1"/>
    <sheet name="SL2E" sheetId="1" r:id="rId2"/>
    <sheet name="SL3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0" i="3" l="1"/>
  <c r="P130" i="3" s="1"/>
  <c r="L129" i="3"/>
  <c r="P129" i="3" s="1"/>
  <c r="L128" i="3"/>
  <c r="P128" i="3" s="1"/>
  <c r="L127" i="3"/>
  <c r="P127" i="3" s="1"/>
  <c r="L126" i="3"/>
  <c r="P126" i="3" s="1"/>
  <c r="L125" i="3"/>
  <c r="P125" i="3" s="1"/>
  <c r="L124" i="3"/>
  <c r="P124" i="3" s="1"/>
  <c r="L123" i="3"/>
  <c r="P123" i="3" s="1"/>
  <c r="L122" i="3"/>
  <c r="P122" i="3" s="1"/>
  <c r="L121" i="3"/>
  <c r="P121" i="3" s="1"/>
  <c r="L120" i="3"/>
  <c r="P120" i="3" s="1"/>
  <c r="L119" i="3"/>
  <c r="P119" i="3" s="1"/>
  <c r="L118" i="3"/>
  <c r="P118" i="3" s="1"/>
  <c r="L117" i="3"/>
  <c r="P117" i="3" s="1"/>
  <c r="L116" i="3"/>
  <c r="P116" i="3" s="1"/>
  <c r="L115" i="3"/>
  <c r="P115" i="3" s="1"/>
  <c r="L114" i="3"/>
  <c r="P114" i="3" s="1"/>
  <c r="L113" i="3"/>
  <c r="P113" i="3" s="1"/>
  <c r="L112" i="3"/>
  <c r="P112" i="3" s="1"/>
  <c r="L111" i="3"/>
  <c r="P111" i="3" s="1"/>
  <c r="L110" i="3"/>
  <c r="P110" i="3" s="1"/>
  <c r="L109" i="3"/>
  <c r="P109" i="3" s="1"/>
  <c r="L108" i="3"/>
  <c r="P108" i="3" s="1"/>
  <c r="L107" i="3"/>
  <c r="P107" i="3" s="1"/>
  <c r="L106" i="3"/>
  <c r="P106" i="3" s="1"/>
  <c r="L105" i="3"/>
  <c r="P105" i="3" s="1"/>
  <c r="L104" i="3"/>
  <c r="P104" i="3" s="1"/>
  <c r="L103" i="3"/>
  <c r="P103" i="3" s="1"/>
  <c r="L102" i="3"/>
  <c r="P102" i="3" s="1"/>
  <c r="L101" i="3"/>
  <c r="P101" i="3" s="1"/>
  <c r="L100" i="3"/>
  <c r="P100" i="3" s="1"/>
  <c r="L99" i="3"/>
  <c r="P99" i="3" s="1"/>
  <c r="L98" i="3"/>
  <c r="P98" i="3" s="1"/>
  <c r="L97" i="3"/>
  <c r="P97" i="3" s="1"/>
  <c r="L96" i="3"/>
  <c r="P96" i="3" s="1"/>
  <c r="L95" i="3"/>
  <c r="P95" i="3" s="1"/>
  <c r="L94" i="3"/>
  <c r="P94" i="3" s="1"/>
  <c r="L93" i="3"/>
  <c r="P93" i="3" s="1"/>
  <c r="L92" i="3"/>
  <c r="P92" i="3" s="1"/>
  <c r="L91" i="3"/>
  <c r="P91" i="3" s="1"/>
  <c r="L90" i="3"/>
  <c r="P90" i="3" s="1"/>
  <c r="L89" i="3"/>
  <c r="P89" i="3" s="1"/>
  <c r="L88" i="3"/>
  <c r="P88" i="3" s="1"/>
  <c r="L87" i="3"/>
  <c r="P87" i="3" s="1"/>
  <c r="L86" i="3"/>
  <c r="P86" i="3" s="1"/>
  <c r="L85" i="3"/>
  <c r="P85" i="3" s="1"/>
  <c r="L84" i="3"/>
  <c r="P84" i="3" s="1"/>
  <c r="L83" i="3"/>
  <c r="P83" i="3" s="1"/>
  <c r="L82" i="3"/>
  <c r="P82" i="3" s="1"/>
  <c r="L81" i="3"/>
  <c r="P81" i="3" s="1"/>
  <c r="L80" i="3"/>
  <c r="P80" i="3" s="1"/>
  <c r="L79" i="3"/>
  <c r="P79" i="3" s="1"/>
  <c r="L78" i="3"/>
  <c r="P78" i="3" s="1"/>
  <c r="L77" i="3"/>
  <c r="P77" i="3" s="1"/>
  <c r="L76" i="3"/>
  <c r="P76" i="3" s="1"/>
  <c r="L75" i="3"/>
  <c r="P75" i="3" s="1"/>
  <c r="L74" i="3"/>
  <c r="P74" i="3" s="1"/>
  <c r="L73" i="3"/>
  <c r="P73" i="3" s="1"/>
  <c r="L72" i="3"/>
  <c r="P72" i="3" s="1"/>
  <c r="L71" i="3"/>
  <c r="P71" i="3" s="1"/>
  <c r="L70" i="3"/>
  <c r="P70" i="3" s="1"/>
  <c r="L69" i="3"/>
  <c r="P69" i="3" s="1"/>
  <c r="L68" i="3"/>
  <c r="P68" i="3" s="1"/>
  <c r="L67" i="3"/>
  <c r="P67" i="3" s="1"/>
  <c r="L66" i="3"/>
  <c r="P66" i="3" s="1"/>
  <c r="L65" i="3"/>
  <c r="P65" i="3" s="1"/>
  <c r="L64" i="3"/>
  <c r="P64" i="3" s="1"/>
  <c r="L63" i="3"/>
  <c r="P63" i="3" s="1"/>
  <c r="L62" i="3"/>
  <c r="P62" i="3" s="1"/>
  <c r="L61" i="3"/>
  <c r="P61" i="3" s="1"/>
  <c r="L60" i="3"/>
  <c r="P60" i="3" s="1"/>
  <c r="L59" i="3"/>
  <c r="P59" i="3" s="1"/>
  <c r="L58" i="3"/>
  <c r="P58" i="3" s="1"/>
  <c r="L57" i="3"/>
  <c r="P57" i="3" s="1"/>
  <c r="L56" i="3"/>
  <c r="P56" i="3" s="1"/>
  <c r="L55" i="3"/>
  <c r="P55" i="3" s="1"/>
  <c r="L54" i="3"/>
  <c r="P54" i="3" s="1"/>
  <c r="L53" i="3"/>
  <c r="P53" i="3" s="1"/>
  <c r="L52" i="3"/>
  <c r="P52" i="3" s="1"/>
  <c r="L51" i="3"/>
  <c r="P51" i="3" s="1"/>
  <c r="L50" i="3"/>
  <c r="P50" i="3" s="1"/>
  <c r="L49" i="3"/>
  <c r="P49" i="3" s="1"/>
  <c r="L48" i="3"/>
  <c r="P48" i="3" s="1"/>
  <c r="L47" i="3"/>
  <c r="P47" i="3" s="1"/>
  <c r="L46" i="3"/>
  <c r="P46" i="3" s="1"/>
  <c r="L45" i="3"/>
  <c r="P45" i="3" s="1"/>
  <c r="L44" i="3"/>
  <c r="P44" i="3" s="1"/>
  <c r="L43" i="3"/>
  <c r="P43" i="3" s="1"/>
  <c r="L42" i="3"/>
  <c r="P42" i="3" s="1"/>
  <c r="L41" i="3"/>
  <c r="P41" i="3" s="1"/>
  <c r="L40" i="3"/>
  <c r="P40" i="3" s="1"/>
  <c r="L39" i="3"/>
  <c r="P39" i="3" s="1"/>
  <c r="L38" i="3"/>
  <c r="P38" i="3" s="1"/>
  <c r="L37" i="3"/>
  <c r="P37" i="3" s="1"/>
  <c r="L36" i="3"/>
  <c r="P36" i="3" s="1"/>
  <c r="L35" i="3"/>
  <c r="P35" i="3" s="1"/>
  <c r="L34" i="3"/>
  <c r="P34" i="3" s="1"/>
  <c r="L33" i="3"/>
  <c r="P33" i="3" s="1"/>
  <c r="L32" i="3"/>
  <c r="P32" i="3" s="1"/>
  <c r="L31" i="3"/>
  <c r="P31" i="3" s="1"/>
  <c r="L30" i="3"/>
  <c r="P30" i="3" s="1"/>
  <c r="L29" i="3"/>
  <c r="P29" i="3" s="1"/>
  <c r="L28" i="3"/>
  <c r="P28" i="3" s="1"/>
  <c r="L27" i="3"/>
  <c r="P27" i="3" s="1"/>
  <c r="L26" i="3"/>
  <c r="P26" i="3" s="1"/>
  <c r="L25" i="3"/>
  <c r="P25" i="3" s="1"/>
  <c r="L24" i="3"/>
  <c r="P24" i="3" s="1"/>
  <c r="L23" i="3"/>
  <c r="P23" i="3" s="1"/>
  <c r="L22" i="3"/>
  <c r="P22" i="3" s="1"/>
  <c r="L21" i="3"/>
  <c r="P21" i="3" s="1"/>
  <c r="L20" i="3"/>
  <c r="P20" i="3" s="1"/>
  <c r="L19" i="3"/>
  <c r="P19" i="3" s="1"/>
  <c r="L18" i="3"/>
  <c r="P18" i="3" s="1"/>
  <c r="L17" i="3"/>
  <c r="P17" i="3" s="1"/>
  <c r="L16" i="3"/>
  <c r="P16" i="3" s="1"/>
  <c r="L15" i="3"/>
  <c r="P15" i="3" s="1"/>
  <c r="L14" i="3"/>
  <c r="P14" i="3" s="1"/>
  <c r="L13" i="3"/>
  <c r="P13" i="3" s="1"/>
  <c r="L12" i="3"/>
  <c r="P12" i="3" s="1"/>
  <c r="L11" i="3"/>
  <c r="P11" i="3" s="1"/>
  <c r="L10" i="3"/>
  <c r="P10" i="3" s="1"/>
  <c r="L9" i="3"/>
  <c r="P9" i="3" s="1"/>
  <c r="L8" i="3"/>
  <c r="P8" i="3" s="1"/>
  <c r="L7" i="3"/>
  <c r="P7" i="3" s="1"/>
  <c r="L6" i="3"/>
  <c r="P6" i="3" s="1"/>
  <c r="L5" i="3"/>
  <c r="P5" i="3" s="1"/>
  <c r="L4" i="3"/>
  <c r="P4" i="3" s="1"/>
  <c r="L3" i="3"/>
  <c r="P3" i="3" s="1"/>
  <c r="L2" i="3"/>
  <c r="P2" i="3" s="1"/>
  <c r="L135" i="1"/>
  <c r="P135" i="1" s="1"/>
  <c r="L134" i="1"/>
  <c r="P134" i="1" s="1"/>
  <c r="L133" i="1"/>
  <c r="P133" i="1" s="1"/>
  <c r="L132" i="1"/>
  <c r="P132" i="1" s="1"/>
  <c r="L131" i="1"/>
  <c r="P131" i="1" s="1"/>
  <c r="L130" i="1"/>
  <c r="P130" i="1" s="1"/>
  <c r="L129" i="1"/>
  <c r="P129" i="1" s="1"/>
  <c r="L128" i="1"/>
  <c r="P128" i="1" s="1"/>
  <c r="L127" i="1"/>
  <c r="P127" i="1" s="1"/>
  <c r="L126" i="1"/>
  <c r="P126" i="1" s="1"/>
  <c r="L125" i="1"/>
  <c r="P125" i="1" s="1"/>
  <c r="L124" i="1"/>
  <c r="P124" i="1" s="1"/>
  <c r="L123" i="1"/>
  <c r="P123" i="1" s="1"/>
  <c r="L122" i="1"/>
  <c r="P122" i="1" s="1"/>
  <c r="L121" i="1"/>
  <c r="P121" i="1" s="1"/>
  <c r="L120" i="1"/>
  <c r="P120" i="1" s="1"/>
  <c r="L119" i="1"/>
  <c r="P119" i="1" s="1"/>
  <c r="L118" i="1"/>
  <c r="P118" i="1" s="1"/>
  <c r="L117" i="1"/>
  <c r="P117" i="1" s="1"/>
  <c r="L116" i="1"/>
  <c r="P116" i="1" s="1"/>
  <c r="L115" i="1"/>
  <c r="P115" i="1" s="1"/>
  <c r="L114" i="1"/>
  <c r="P114" i="1" s="1"/>
  <c r="L113" i="1"/>
  <c r="P113" i="1" s="1"/>
  <c r="L112" i="1"/>
  <c r="P112" i="1" s="1"/>
  <c r="L111" i="1"/>
  <c r="P111" i="1" s="1"/>
  <c r="L110" i="1"/>
  <c r="P110" i="1" s="1"/>
  <c r="L109" i="1"/>
  <c r="P109" i="1" s="1"/>
  <c r="L108" i="1"/>
  <c r="P108" i="1" s="1"/>
  <c r="L107" i="1"/>
  <c r="P107" i="1" s="1"/>
  <c r="L106" i="1"/>
  <c r="P106" i="1" s="1"/>
  <c r="L105" i="1"/>
  <c r="P105" i="1" s="1"/>
  <c r="L104" i="1"/>
  <c r="P104" i="1" s="1"/>
  <c r="L103" i="1"/>
  <c r="P103" i="1" s="1"/>
  <c r="L102" i="1"/>
  <c r="P102" i="1" s="1"/>
  <c r="L101" i="1"/>
  <c r="P101" i="1" s="1"/>
  <c r="L100" i="1"/>
  <c r="P100" i="1" s="1"/>
  <c r="L99" i="1"/>
  <c r="P99" i="1" s="1"/>
  <c r="L98" i="1"/>
  <c r="P98" i="1" s="1"/>
  <c r="L97" i="1"/>
  <c r="P97" i="1" s="1"/>
  <c r="L96" i="1"/>
  <c r="P96" i="1" s="1"/>
  <c r="L95" i="1"/>
  <c r="P95" i="1" s="1"/>
  <c r="L94" i="1"/>
  <c r="P94" i="1" s="1"/>
  <c r="L93" i="1"/>
  <c r="P93" i="1" s="1"/>
  <c r="L92" i="1"/>
  <c r="P92" i="1" s="1"/>
  <c r="L91" i="1"/>
  <c r="P91" i="1" s="1"/>
  <c r="L90" i="1"/>
  <c r="P90" i="1" s="1"/>
  <c r="L89" i="1"/>
  <c r="P89" i="1" s="1"/>
  <c r="L88" i="1"/>
  <c r="P88" i="1" s="1"/>
  <c r="L87" i="1"/>
  <c r="P87" i="1" s="1"/>
  <c r="L86" i="1"/>
  <c r="P86" i="1" s="1"/>
  <c r="L85" i="1"/>
  <c r="P85" i="1" s="1"/>
  <c r="L84" i="1"/>
  <c r="P84" i="1" s="1"/>
  <c r="L83" i="1"/>
  <c r="P83" i="1" s="1"/>
  <c r="L82" i="1"/>
  <c r="P82" i="1" s="1"/>
  <c r="L81" i="1"/>
  <c r="P81" i="1" s="1"/>
  <c r="L80" i="1"/>
  <c r="P80" i="1" s="1"/>
  <c r="L79" i="1"/>
  <c r="P79" i="1" s="1"/>
  <c r="L78" i="1"/>
  <c r="P78" i="1" s="1"/>
  <c r="L77" i="1"/>
  <c r="P77" i="1" s="1"/>
  <c r="L76" i="1"/>
  <c r="P76" i="1" s="1"/>
  <c r="L75" i="1"/>
  <c r="P75" i="1" s="1"/>
  <c r="L74" i="1"/>
  <c r="P74" i="1" s="1"/>
  <c r="L73" i="1"/>
  <c r="P73" i="1" s="1"/>
  <c r="L72" i="1"/>
  <c r="P72" i="1" s="1"/>
  <c r="L71" i="1"/>
  <c r="P71" i="1" s="1"/>
  <c r="L70" i="1"/>
  <c r="P70" i="1" s="1"/>
  <c r="L69" i="1"/>
  <c r="P69" i="1" s="1"/>
  <c r="L68" i="1"/>
  <c r="P68" i="1" s="1"/>
  <c r="L67" i="1"/>
  <c r="P67" i="1" s="1"/>
  <c r="L66" i="1"/>
  <c r="P66" i="1" s="1"/>
  <c r="L65" i="1"/>
  <c r="P65" i="1" s="1"/>
  <c r="L64" i="1"/>
  <c r="P64" i="1" s="1"/>
  <c r="L63" i="1"/>
  <c r="P63" i="1" s="1"/>
  <c r="L62" i="1"/>
  <c r="P62" i="1" s="1"/>
  <c r="L61" i="1"/>
  <c r="P61" i="1" s="1"/>
  <c r="L60" i="1"/>
  <c r="P60" i="1" s="1"/>
  <c r="L59" i="1"/>
  <c r="P59" i="1" s="1"/>
  <c r="L58" i="1"/>
  <c r="P58" i="1" s="1"/>
  <c r="L57" i="1"/>
  <c r="P57" i="1" s="1"/>
  <c r="L56" i="1"/>
  <c r="P56" i="1" s="1"/>
  <c r="L55" i="1"/>
  <c r="P55" i="1" s="1"/>
  <c r="L54" i="1"/>
  <c r="P54" i="1" s="1"/>
  <c r="L53" i="1"/>
  <c r="P53" i="1" s="1"/>
  <c r="L52" i="1"/>
  <c r="P52" i="1" s="1"/>
  <c r="L51" i="1"/>
  <c r="P51" i="1" s="1"/>
  <c r="L50" i="1"/>
  <c r="P50" i="1" s="1"/>
  <c r="L49" i="1"/>
  <c r="P49" i="1" s="1"/>
  <c r="L48" i="1"/>
  <c r="P48" i="1" s="1"/>
  <c r="L47" i="1"/>
  <c r="P47" i="1" s="1"/>
  <c r="L46" i="1"/>
  <c r="P46" i="1" s="1"/>
  <c r="L45" i="1"/>
  <c r="P45" i="1" s="1"/>
  <c r="L44" i="1"/>
  <c r="P44" i="1" s="1"/>
  <c r="L43" i="1"/>
  <c r="P43" i="1" s="1"/>
  <c r="L42" i="1"/>
  <c r="P42" i="1" s="1"/>
  <c r="L41" i="1"/>
  <c r="P41" i="1" s="1"/>
  <c r="L40" i="1"/>
  <c r="P40" i="1" s="1"/>
  <c r="L39" i="1"/>
  <c r="P39" i="1" s="1"/>
  <c r="L38" i="1"/>
  <c r="P38" i="1" s="1"/>
  <c r="L37" i="1"/>
  <c r="P37" i="1" s="1"/>
  <c r="L36" i="1"/>
  <c r="P36" i="1" s="1"/>
  <c r="L35" i="1"/>
  <c r="P35" i="1" s="1"/>
  <c r="L34" i="1"/>
  <c r="P34" i="1" s="1"/>
  <c r="L33" i="1"/>
  <c r="P33" i="1" s="1"/>
  <c r="L32" i="1"/>
  <c r="P32" i="1" s="1"/>
  <c r="L31" i="1"/>
  <c r="P31" i="1" s="1"/>
  <c r="L30" i="1"/>
  <c r="P30" i="1" s="1"/>
  <c r="L29" i="1"/>
  <c r="P29" i="1" s="1"/>
  <c r="L28" i="1"/>
  <c r="P28" i="1" s="1"/>
  <c r="L27" i="1"/>
  <c r="P27" i="1" s="1"/>
  <c r="L26" i="1"/>
  <c r="P26" i="1" s="1"/>
  <c r="L25" i="1"/>
  <c r="P25" i="1" s="1"/>
  <c r="L24" i="1"/>
  <c r="P24" i="1" s="1"/>
  <c r="L23" i="1"/>
  <c r="P23" i="1" s="1"/>
  <c r="L22" i="1"/>
  <c r="P22" i="1" s="1"/>
  <c r="L21" i="1"/>
  <c r="P21" i="1" s="1"/>
  <c r="L20" i="1"/>
  <c r="P20" i="1" s="1"/>
  <c r="L19" i="1"/>
  <c r="P19" i="1" s="1"/>
  <c r="L18" i="1"/>
  <c r="P18" i="1" s="1"/>
  <c r="L17" i="1"/>
  <c r="P17" i="1" s="1"/>
  <c r="L16" i="1"/>
  <c r="P16" i="1" s="1"/>
  <c r="L15" i="1"/>
  <c r="P15" i="1" s="1"/>
  <c r="L14" i="1"/>
  <c r="P14" i="1" s="1"/>
  <c r="L13" i="1"/>
  <c r="P13" i="1" s="1"/>
  <c r="L12" i="1"/>
  <c r="P12" i="1" s="1"/>
  <c r="L11" i="1"/>
  <c r="P11" i="1" s="1"/>
  <c r="L10" i="1"/>
  <c r="P10" i="1" s="1"/>
  <c r="L9" i="1"/>
  <c r="P9" i="1" s="1"/>
  <c r="L8" i="1"/>
  <c r="P8" i="1" s="1"/>
  <c r="L7" i="1"/>
  <c r="P7" i="1" s="1"/>
  <c r="L6" i="1"/>
  <c r="P6" i="1" s="1"/>
  <c r="L5" i="1"/>
  <c r="P5" i="1" s="1"/>
  <c r="L4" i="1"/>
  <c r="P4" i="1" s="1"/>
  <c r="L3" i="1"/>
  <c r="P3" i="1" s="1"/>
  <c r="L2" i="1"/>
  <c r="P2" i="1" s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2" i="1"/>
</calcChain>
</file>

<file path=xl/sharedStrings.xml><?xml version="1.0" encoding="utf-8"?>
<sst xmlns="http://schemas.openxmlformats.org/spreadsheetml/2006/main" count="5361" uniqueCount="718">
  <si>
    <t>SetName</t>
  </si>
  <si>
    <t>Rarity</t>
  </si>
  <si>
    <t>CardName</t>
  </si>
  <si>
    <t>CardCode</t>
  </si>
  <si>
    <t>SL2E-001</t>
  </si>
  <si>
    <t>SL2E-002</t>
  </si>
  <si>
    <t>SL2E-003</t>
  </si>
  <si>
    <t>SL2E-004</t>
  </si>
  <si>
    <t>SL2E-005</t>
  </si>
  <si>
    <t>SL2E-006</t>
  </si>
  <si>
    <t>SL2E-007</t>
  </si>
  <si>
    <t>SL2E-008</t>
  </si>
  <si>
    <t>SL2E-009</t>
  </si>
  <si>
    <t>SL2E-010</t>
  </si>
  <si>
    <t>SL2E-011</t>
  </si>
  <si>
    <t>SL2E-012</t>
  </si>
  <si>
    <t>SL2E-013</t>
  </si>
  <si>
    <t>SL2E-014</t>
  </si>
  <si>
    <t>SL2E-015</t>
  </si>
  <si>
    <t>SL2E-016</t>
  </si>
  <si>
    <t>SL2E-017</t>
  </si>
  <si>
    <t>SL2E-018</t>
  </si>
  <si>
    <t>SL2E-019</t>
  </si>
  <si>
    <t>SL2E-020</t>
  </si>
  <si>
    <t>SL2E-021</t>
  </si>
  <si>
    <t>SL2E-022</t>
  </si>
  <si>
    <t>SL2E-023</t>
  </si>
  <si>
    <t>SL2E-024</t>
  </si>
  <si>
    <t>SL2E-025</t>
  </si>
  <si>
    <t>SL2E-026</t>
  </si>
  <si>
    <t>SL2E-027</t>
  </si>
  <si>
    <t>SL2E-028</t>
  </si>
  <si>
    <t>SL2E-029</t>
  </si>
  <si>
    <t>SL2E-030</t>
  </si>
  <si>
    <t>SL2E-031</t>
  </si>
  <si>
    <t>SL2E-032</t>
  </si>
  <si>
    <t>SL2E-033</t>
  </si>
  <si>
    <t>SL2E-034</t>
  </si>
  <si>
    <t>SL2E-035</t>
  </si>
  <si>
    <t>SL2E-036</t>
  </si>
  <si>
    <t>SL2E-037</t>
  </si>
  <si>
    <t>SL2E-038</t>
  </si>
  <si>
    <t>SL2E-039</t>
  </si>
  <si>
    <t>SL2E-040</t>
  </si>
  <si>
    <t>SL2E-041</t>
  </si>
  <si>
    <t>SL2E-042</t>
  </si>
  <si>
    <t>SL2E-043</t>
  </si>
  <si>
    <t>SL2E-044</t>
  </si>
  <si>
    <t>SL2E-045</t>
  </si>
  <si>
    <t>SL2E-046</t>
  </si>
  <si>
    <t>SL2E-047</t>
  </si>
  <si>
    <t>SL2E-048</t>
  </si>
  <si>
    <t>SL2E-049</t>
  </si>
  <si>
    <t>SL2E-050</t>
  </si>
  <si>
    <t>SL2E-051</t>
  </si>
  <si>
    <t>SL2E-052</t>
  </si>
  <si>
    <t>SL2E-053</t>
  </si>
  <si>
    <t>SL2E-054</t>
  </si>
  <si>
    <t>SL2E-055</t>
  </si>
  <si>
    <t>SL2E-056</t>
  </si>
  <si>
    <t>SL2E-057</t>
  </si>
  <si>
    <t>SL2E-058</t>
  </si>
  <si>
    <t>SL2E-059</t>
  </si>
  <si>
    <t>SL2E-060</t>
  </si>
  <si>
    <t>SL2E-061</t>
  </si>
  <si>
    <t>SL2E-062</t>
  </si>
  <si>
    <t>SL2E-063</t>
  </si>
  <si>
    <t>SL2E-064</t>
  </si>
  <si>
    <t>SL2E-065</t>
  </si>
  <si>
    <t>SL2E-066</t>
  </si>
  <si>
    <t>SL2E-067</t>
  </si>
  <si>
    <t>SL2E-068</t>
  </si>
  <si>
    <t>SL2E-069</t>
  </si>
  <si>
    <t>SL2E-070</t>
  </si>
  <si>
    <t>SL2E-071</t>
  </si>
  <si>
    <t>SL2E-072</t>
  </si>
  <si>
    <t>SL2E-073</t>
  </si>
  <si>
    <t>SL2E-074</t>
  </si>
  <si>
    <t>SL2E-075</t>
  </si>
  <si>
    <t>SL2E-076</t>
  </si>
  <si>
    <t>SL2E-077</t>
  </si>
  <si>
    <t>SL2E-078</t>
  </si>
  <si>
    <t>SL2E-079</t>
  </si>
  <si>
    <t>SL2E-080</t>
  </si>
  <si>
    <t>SL2E-081</t>
  </si>
  <si>
    <t>SL2E-082</t>
  </si>
  <si>
    <t>SL2E-083</t>
  </si>
  <si>
    <t>SL2E-084</t>
  </si>
  <si>
    <t>SL2E-085</t>
  </si>
  <si>
    <t>SL2E-086</t>
  </si>
  <si>
    <t>SL2E-087</t>
  </si>
  <si>
    <t>SL2E-088</t>
  </si>
  <si>
    <t>SL2E-089</t>
  </si>
  <si>
    <t>SL2E-069-P</t>
  </si>
  <si>
    <t>SL2E-070-P</t>
  </si>
  <si>
    <t>SL2E-071-P</t>
  </si>
  <si>
    <t>SL2E-072-P</t>
  </si>
  <si>
    <t>SL2E-073-P</t>
  </si>
  <si>
    <t>SL2E-074-P</t>
  </si>
  <si>
    <t>SL2E-075-P</t>
  </si>
  <si>
    <t>SL2E-076-P</t>
  </si>
  <si>
    <t>SL2E-077-P</t>
  </si>
  <si>
    <t>SL2E-078-P</t>
  </si>
  <si>
    <t>SL2E-079-P</t>
  </si>
  <si>
    <t>SL2E-080-P</t>
  </si>
  <si>
    <t>SL2E-081-P</t>
  </si>
  <si>
    <t>SL2E-082-P</t>
  </si>
  <si>
    <t>SL2E-083-P</t>
  </si>
  <si>
    <t>SL2E-084-P</t>
  </si>
  <si>
    <t>SL2E-085-P</t>
  </si>
  <si>
    <t>SL2E-086-P</t>
  </si>
  <si>
    <t>SL2E-087-P</t>
  </si>
  <si>
    <t>SL2E-088-P</t>
  </si>
  <si>
    <t>SL2E-089-P</t>
  </si>
  <si>
    <t>SL2E-087-SP</t>
  </si>
  <si>
    <t>SL2E-088-SP</t>
  </si>
  <si>
    <t>SL2E-089-SP</t>
  </si>
  <si>
    <t>SL2E-SEC 001</t>
  </si>
  <si>
    <t>SL2E-SEC 002</t>
  </si>
  <si>
    <t>SL2E-SEC 003</t>
  </si>
  <si>
    <t>SL2E-PM 01</t>
  </si>
  <si>
    <t>SL2E-PM 02</t>
  </si>
  <si>
    <t>SL2E-PM 03</t>
  </si>
  <si>
    <t>SL2E-PM 04</t>
  </si>
  <si>
    <t>SL2E-PM 05</t>
  </si>
  <si>
    <t>SL2E-PM 06</t>
  </si>
  <si>
    <t>SL2E-PM 07</t>
  </si>
  <si>
    <t>SL2E-PM-P 01</t>
  </si>
  <si>
    <t>SL2E-PM-P 02</t>
  </si>
  <si>
    <t>SL2E-PM-P 03</t>
  </si>
  <si>
    <t>SL2E-PM-P 04</t>
  </si>
  <si>
    <t>SL2E-PM-P 05</t>
  </si>
  <si>
    <t>SL2E-PM-P 06</t>
  </si>
  <si>
    <t>SL2E-???</t>
  </si>
  <si>
    <t>SL2E-SG01</t>
  </si>
  <si>
    <t>SL2E-BN-001</t>
  </si>
  <si>
    <t>SL2E-STORE PROMO</t>
  </si>
  <si>
    <t>SL2E</t>
  </si>
  <si>
    <t>C</t>
  </si>
  <si>
    <t>R</t>
  </si>
  <si>
    <t>SR</t>
  </si>
  <si>
    <t>SR-P</t>
  </si>
  <si>
    <t>UR</t>
  </si>
  <si>
    <t>UR-P</t>
  </si>
  <si>
    <t>HR</t>
  </si>
  <si>
    <t>HR-P</t>
  </si>
  <si>
    <t>HR-SP</t>
  </si>
  <si>
    <t>PM</t>
  </si>
  <si>
    <t>SEC</t>
  </si>
  <si>
    <t>SG</t>
  </si>
  <si>
    <t>PM-P</t>
  </si>
  <si>
    <t>BN</t>
  </si>
  <si>
    <t>SL2E-PM-P 07</t>
  </si>
  <si>
    <t>???</t>
  </si>
  <si>
    <t>STORE</t>
  </si>
  <si>
    <t>SUNG JINWOO</t>
  </si>
  <si>
    <t>YOO JINHO</t>
  </si>
  <si>
    <t>BAEK YOONHO</t>
  </si>
  <si>
    <t>CHOI JONG-IN</t>
  </si>
  <si>
    <t>CHA HAE-IN</t>
  </si>
  <si>
    <t>WOO JINCHUL</t>
  </si>
  <si>
    <t>GO GUNHEE</t>
  </si>
  <si>
    <t>SUNG JINAH</t>
  </si>
  <si>
    <t>SUNG IL-HWAN</t>
  </si>
  <si>
    <t>HAN SONG-YI</t>
  </si>
  <si>
    <t>SON KIHOON</t>
  </si>
  <si>
    <t>GINA</t>
  </si>
  <si>
    <t>LEE BORA</t>
  </si>
  <si>
    <t>HAN SEMI</t>
  </si>
  <si>
    <t>MYUNG-CHUL</t>
  </si>
  <si>
    <t>LEE GEONGUK</t>
  </si>
  <si>
    <t>SHIN SUKJIN</t>
  </si>
  <si>
    <t>SEO JIWOO</t>
  </si>
  <si>
    <t>KIM EUNSU</t>
  </si>
  <si>
    <t>HWANG DONGSOO</t>
  </si>
  <si>
    <t>KIM CHUL</t>
  </si>
  <si>
    <t>PARK HEEJIN</t>
  </si>
  <si>
    <t>LEE SEONGGU</t>
  </si>
  <si>
    <t>BAE YUNSEOK</t>
  </si>
  <si>
    <t>PARK KYUNG-HYE</t>
  </si>
  <si>
    <t>YOO MYUNGHAN</t>
  </si>
  <si>
    <t>AHN SANGMIN</t>
  </si>
  <si>
    <t>HYUN KICHUL</t>
  </si>
  <si>
    <t>MICHAEL CONNOR</t>
  </si>
  <si>
    <t>SHADOW SOLDIER</t>
  </si>
  <si>
    <t>IGRIS</t>
  </si>
  <si>
    <t>ICE BEAR</t>
  </si>
  <si>
    <t>ICE ELF</t>
  </si>
  <si>
    <t>BARUKA</t>
  </si>
  <si>
    <t>DEMON</t>
  </si>
  <si>
    <t>THE RULER OF THE LOWER FLOORS THE AVARICIOUS VULCAN</t>
  </si>
  <si>
    <t>THE SOUL SHEPHERD, METUS</t>
  </si>
  <si>
    <t>DUNGEON JAKAL</t>
  </si>
  <si>
    <t>HIGH ORC</t>
  </si>
  <si>
    <t>KARGALGAN</t>
  </si>
  <si>
    <t>TANK</t>
  </si>
  <si>
    <t>IRON</t>
  </si>
  <si>
    <t>TUSK</t>
  </si>
  <si>
    <t>ICE BEAR / TANK</t>
  </si>
  <si>
    <t>KARGALGAN / TUSK</t>
  </si>
  <si>
    <t>KIM CHUL / IRON</t>
  </si>
  <si>
    <t>THE SHADOW ARMY</t>
  </si>
  <si>
    <t>SUNG JINWOO / CHA HAE-IN</t>
  </si>
  <si>
    <t>SOLO LEVELING</t>
  </si>
  <si>
    <t>('</t>
  </si>
  <si>
    <t>','</t>
  </si>
  <si>
    <t>')</t>
  </si>
  <si>
    <t>SL1E-001</t>
  </si>
  <si>
    <t>SL1E-002</t>
  </si>
  <si>
    <t>SL1E-003</t>
  </si>
  <si>
    <t>SL1E-004</t>
  </si>
  <si>
    <t>SL1E-005</t>
  </si>
  <si>
    <t>SL1E-006</t>
  </si>
  <si>
    <t>SL1E-007</t>
  </si>
  <si>
    <t>SL1E-008</t>
  </si>
  <si>
    <t>SL1E-009</t>
  </si>
  <si>
    <t>SL1E-010</t>
  </si>
  <si>
    <t>SL1E-011</t>
  </si>
  <si>
    <t>SL1E-012</t>
  </si>
  <si>
    <t>SL1E-013</t>
  </si>
  <si>
    <t>SL1E-014</t>
  </si>
  <si>
    <t>SL1E-015</t>
  </si>
  <si>
    <t>SL1E-016</t>
  </si>
  <si>
    <t>SL1E-017</t>
  </si>
  <si>
    <t>SL1E-018</t>
  </si>
  <si>
    <t>SL1E-019</t>
  </si>
  <si>
    <t>SL1E-020</t>
  </si>
  <si>
    <t>SL1E-021</t>
  </si>
  <si>
    <t>SL1E-022</t>
  </si>
  <si>
    <t>SL1E-023</t>
  </si>
  <si>
    <t>SL1E-024</t>
  </si>
  <si>
    <t>SL1E-025</t>
  </si>
  <si>
    <t>SL1E-026</t>
  </si>
  <si>
    <t>SL1E-027</t>
  </si>
  <si>
    <t>SL1E-028</t>
  </si>
  <si>
    <t>SL1E-029</t>
  </si>
  <si>
    <t>SL1E-030</t>
  </si>
  <si>
    <t>SL1E-031</t>
  </si>
  <si>
    <t>SL1E-032</t>
  </si>
  <si>
    <t>SL1E-033</t>
  </si>
  <si>
    <t>SL1E-034</t>
  </si>
  <si>
    <t>SL1E-035</t>
  </si>
  <si>
    <t>SL1E-036</t>
  </si>
  <si>
    <t>SL1E-037</t>
  </si>
  <si>
    <t>SL1E-038</t>
  </si>
  <si>
    <t>SL1E-039</t>
  </si>
  <si>
    <t>SL1E-040</t>
  </si>
  <si>
    <t>SL1E-041</t>
  </si>
  <si>
    <t>SL1E-042</t>
  </si>
  <si>
    <t>SL1E-043</t>
  </si>
  <si>
    <t>SL1E-044</t>
  </si>
  <si>
    <t>SL1E-045</t>
  </si>
  <si>
    <t>SL1E-046</t>
  </si>
  <si>
    <t>SL1E-047</t>
  </si>
  <si>
    <t>SL1E-048</t>
  </si>
  <si>
    <t>SL1E-049</t>
  </si>
  <si>
    <t>SL1E-050</t>
  </si>
  <si>
    <t>SL1E-051</t>
  </si>
  <si>
    <t>SL1E-052</t>
  </si>
  <si>
    <t>SL1E-053</t>
  </si>
  <si>
    <t>SL1E-054</t>
  </si>
  <si>
    <t>SL1E-055</t>
  </si>
  <si>
    <t>SL1E-056</t>
  </si>
  <si>
    <t>SL1E-057</t>
  </si>
  <si>
    <t>SL1E-058</t>
  </si>
  <si>
    <t>SL1E-059</t>
  </si>
  <si>
    <t>SL1E-060</t>
  </si>
  <si>
    <t>SL1E-061</t>
  </si>
  <si>
    <t>SL1E-062</t>
  </si>
  <si>
    <t>SL1E-063</t>
  </si>
  <si>
    <t>SL1E-064</t>
  </si>
  <si>
    <t>SL1E-065</t>
  </si>
  <si>
    <t>SL1E-066</t>
  </si>
  <si>
    <t>SL1E-067</t>
  </si>
  <si>
    <t>SL1E-068</t>
  </si>
  <si>
    <t>SL1E-069</t>
  </si>
  <si>
    <t>SL1E-070</t>
  </si>
  <si>
    <t>SL1E-071</t>
  </si>
  <si>
    <t>SL1E-072</t>
  </si>
  <si>
    <t>SL1E-073</t>
  </si>
  <si>
    <t>SL1E-074</t>
  </si>
  <si>
    <t>SL1E-075</t>
  </si>
  <si>
    <t>SL1E-076</t>
  </si>
  <si>
    <t>SL1E-077</t>
  </si>
  <si>
    <t>SL1E-078</t>
  </si>
  <si>
    <t>SL1E-079</t>
  </si>
  <si>
    <t>SL1E-080</t>
  </si>
  <si>
    <t>SL1E-081</t>
  </si>
  <si>
    <t>SL1E-082</t>
  </si>
  <si>
    <t>SL1E-083</t>
  </si>
  <si>
    <t>SL1E-084</t>
  </si>
  <si>
    <t>SL1E-085</t>
  </si>
  <si>
    <t>SL1E-086</t>
  </si>
  <si>
    <t>SL1E-087</t>
  </si>
  <si>
    <t>SL1E-088</t>
  </si>
  <si>
    <t>SL1E-089</t>
  </si>
  <si>
    <t>SL1E-090</t>
  </si>
  <si>
    <t>SL1E-091</t>
  </si>
  <si>
    <t>SL1E-092</t>
  </si>
  <si>
    <t>SL1E</t>
  </si>
  <si>
    <t>SL1E-093</t>
  </si>
  <si>
    <t>SL1E-070-P</t>
  </si>
  <si>
    <t>SL1E-071-P</t>
  </si>
  <si>
    <t>SL1E-072-P</t>
  </si>
  <si>
    <t>SL1E-073-P</t>
  </si>
  <si>
    <t>SL1E-074-P</t>
  </si>
  <si>
    <t>SL1E-075-P</t>
  </si>
  <si>
    <t>SL1E-076-P</t>
  </si>
  <si>
    <t>SL1E-077-P</t>
  </si>
  <si>
    <t>SL1E-078-P</t>
  </si>
  <si>
    <t>SL1E-079-P</t>
  </si>
  <si>
    <t>SL1E-080-P</t>
  </si>
  <si>
    <t>SL1E-081-P</t>
  </si>
  <si>
    <t>SL1E-082-P</t>
  </si>
  <si>
    <t>SL1E-083-P</t>
  </si>
  <si>
    <t>SL1E-084-P</t>
  </si>
  <si>
    <t>SL1E-085-P</t>
  </si>
  <si>
    <t>SL1E-086-P</t>
  </si>
  <si>
    <t>SL1E-087-P</t>
  </si>
  <si>
    <t>SL1E-088-P</t>
  </si>
  <si>
    <t>SL1E-089-P</t>
  </si>
  <si>
    <t>SL1E-090-P</t>
  </si>
  <si>
    <t>SL1E-091-P</t>
  </si>
  <si>
    <t>SL1E-092-P</t>
  </si>
  <si>
    <t>SL1E-093-P</t>
  </si>
  <si>
    <t>SL1E-091-SP</t>
  </si>
  <si>
    <t>SL1E-092-SP</t>
  </si>
  <si>
    <t>SL1E-093-SP</t>
  </si>
  <si>
    <t>SONG CHIYUL</t>
  </si>
  <si>
    <t>KANG TAESHIK</t>
  </si>
  <si>
    <t>LEE JOOHEE</t>
  </si>
  <si>
    <t>KYUHWAN</t>
  </si>
  <si>
    <t>JINSUK</t>
  </si>
  <si>
    <t>HWANG DONGSUK</t>
  </si>
  <si>
    <t>JOONTAE</t>
  </si>
  <si>
    <t>LAURA</t>
  </si>
  <si>
    <t>YOO JIMSUNG</t>
  </si>
  <si>
    <t>EUNSEOK</t>
  </si>
  <si>
    <t>MIN BYUNG-GU</t>
  </si>
  <si>
    <t>GOBLIN</t>
  </si>
  <si>
    <t>WEREWOLF</t>
  </si>
  <si>
    <t>CARTENON STATUE</t>
  </si>
  <si>
    <t>POISON-TOOTHED GIANT DESERT CENTIPEDE</t>
  </si>
  <si>
    <t>STEEL-FENGED LYCAN</t>
  </si>
  <si>
    <t>KING OF THE SWAMP BLUE VENOM-FANGED KASAKA</t>
  </si>
  <si>
    <t>CLASS D GOLEM</t>
  </si>
  <si>
    <t>SPIDER MONSTER</t>
  </si>
  <si>
    <t>SPIDER MONSTER BOSS</t>
  </si>
  <si>
    <t>HELL'S GATEKEEPER CERBERUS</t>
  </si>
  <si>
    <t>HOB GOBLIN</t>
  </si>
  <si>
    <t>KNIGHT.MAGE.ARCHER.ASSASSIN</t>
  </si>
  <si>
    <t>KNIGHT COMMANDER IGRIS THE RED</t>
  </si>
  <si>
    <t>KNIGHT COMMANDER SHADOW IGRIS THE RED</t>
  </si>
  <si>
    <t>BAEK YOONHO, GO GUNHEE, WOO JINCHUL</t>
  </si>
  <si>
    <t>GO GUNHEE, WOO JINCHUL</t>
  </si>
  <si>
    <t>SUNG JINWOO, YOO JINHO</t>
  </si>
  <si>
    <t>CHA HAE-IN, CHOI JONG-IN</t>
  </si>
  <si>
    <t>CHA HAE-IN, SUNG JINWOO</t>
  </si>
  <si>
    <t>SUNG JINWOO, YOO JINHO, CHA HAE-IN</t>
  </si>
  <si>
    <t>,</t>
  </si>
  <si>
    <t>SL3E-SEC 001</t>
  </si>
  <si>
    <t>SL3E-SEC 002</t>
  </si>
  <si>
    <t>SL3E-SEC 003</t>
  </si>
  <si>
    <t>SLE3-XXX</t>
  </si>
  <si>
    <t>SL3E-BN-001</t>
  </si>
  <si>
    <t>SL3E-STORE PROMO 01</t>
  </si>
  <si>
    <t>SL3E-STORE PROMO 02</t>
  </si>
  <si>
    <t>SL3E-STORE PROMO 03</t>
  </si>
  <si>
    <t>SL3E-STORE PROMO 04</t>
  </si>
  <si>
    <t>SL3E-STORE PROMO 05</t>
  </si>
  <si>
    <t>SL3E-STORE PROMO 06</t>
  </si>
  <si>
    <t>SL3E-STORE PROMO 07</t>
  </si>
  <si>
    <t>SL3E-STORE PROMO 08</t>
  </si>
  <si>
    <t>SL3E-001</t>
  </si>
  <si>
    <t>SL3E-002</t>
  </si>
  <si>
    <t>SL3E-003</t>
  </si>
  <si>
    <t>SL3E-004</t>
  </si>
  <si>
    <t>SL3E-005</t>
  </si>
  <si>
    <t>SL3E-006</t>
  </si>
  <si>
    <t>SL3E-007</t>
  </si>
  <si>
    <t>SL3E-008</t>
  </si>
  <si>
    <t>SL3E-009</t>
  </si>
  <si>
    <t>SL3E-010</t>
  </si>
  <si>
    <t>SL3E-011</t>
  </si>
  <si>
    <t>SL3E-012</t>
  </si>
  <si>
    <t>SL3E-013</t>
  </si>
  <si>
    <t>SL3E-014</t>
  </si>
  <si>
    <t>SL3E-015</t>
  </si>
  <si>
    <t>SL3E-016</t>
  </si>
  <si>
    <t>SL3E-017</t>
  </si>
  <si>
    <t>SL3E-018</t>
  </si>
  <si>
    <t>SL3E-019</t>
  </si>
  <si>
    <t>SL3E-020</t>
  </si>
  <si>
    <t>SL3E-021</t>
  </si>
  <si>
    <t>SL3E-022</t>
  </si>
  <si>
    <t>SL3E-023</t>
  </si>
  <si>
    <t>SL3E-024</t>
  </si>
  <si>
    <t>SL3E-025</t>
  </si>
  <si>
    <t>SL3E-026</t>
  </si>
  <si>
    <t>SL3E-027</t>
  </si>
  <si>
    <t>SL3E-028</t>
  </si>
  <si>
    <t>SL3E-029</t>
  </si>
  <si>
    <t>SL3E-030</t>
  </si>
  <si>
    <t>SL3E-031</t>
  </si>
  <si>
    <t>SL3E-032</t>
  </si>
  <si>
    <t>SL3E-033</t>
  </si>
  <si>
    <t>SL3E-034</t>
  </si>
  <si>
    <t>SL3E-035</t>
  </si>
  <si>
    <t>SL3E-036</t>
  </si>
  <si>
    <t>SL3E-037</t>
  </si>
  <si>
    <t>SL3E-038</t>
  </si>
  <si>
    <t>SL3E-039</t>
  </si>
  <si>
    <t>SL3E-040</t>
  </si>
  <si>
    <t>SL3E-041</t>
  </si>
  <si>
    <t>SL3E-042</t>
  </si>
  <si>
    <t>SL3E-043</t>
  </si>
  <si>
    <t>SL3E-044</t>
  </si>
  <si>
    <t>SL3E-045</t>
  </si>
  <si>
    <t>SL3E-046</t>
  </si>
  <si>
    <t>SL3E-047</t>
  </si>
  <si>
    <t>SL3E-048</t>
  </si>
  <si>
    <t>SL3E-049</t>
  </si>
  <si>
    <t>SL3E-050</t>
  </si>
  <si>
    <t>SL3E-051</t>
  </si>
  <si>
    <t>SL3E-052</t>
  </si>
  <si>
    <t>SL3E-053</t>
  </si>
  <si>
    <t>SL3E-054</t>
  </si>
  <si>
    <t>SL3E-055</t>
  </si>
  <si>
    <t>SL3E-056</t>
  </si>
  <si>
    <t>SL3E-057</t>
  </si>
  <si>
    <t>SL3E-058</t>
  </si>
  <si>
    <t>SL3E-059</t>
  </si>
  <si>
    <t>SL3E-060</t>
  </si>
  <si>
    <t>SL3E-061</t>
  </si>
  <si>
    <t>SL3E-062</t>
  </si>
  <si>
    <t>SL3E-063</t>
  </si>
  <si>
    <t>SL3E-064</t>
  </si>
  <si>
    <t>SL3E-065</t>
  </si>
  <si>
    <t>SL3E-066</t>
  </si>
  <si>
    <t>SL3E-067</t>
  </si>
  <si>
    <t>SL3E-068</t>
  </si>
  <si>
    <t>SL3E-069</t>
  </si>
  <si>
    <t>SL3E-070</t>
  </si>
  <si>
    <t>SL3E-071</t>
  </si>
  <si>
    <t>SL3E-072</t>
  </si>
  <si>
    <t>SL3E-073</t>
  </si>
  <si>
    <t>SL3E-074</t>
  </si>
  <si>
    <t>SL3E-075</t>
  </si>
  <si>
    <t>SL3E-076</t>
  </si>
  <si>
    <t>SL3E-077</t>
  </si>
  <si>
    <t>SL3E-078</t>
  </si>
  <si>
    <t>SL3E-079</t>
  </si>
  <si>
    <t>SL3E-080</t>
  </si>
  <si>
    <t>SL3E-081</t>
  </si>
  <si>
    <t>SL3E-082</t>
  </si>
  <si>
    <t>SL3E-083</t>
  </si>
  <si>
    <t>SL3E-084</t>
  </si>
  <si>
    <t>SL3E-085</t>
  </si>
  <si>
    <t>SL3E-074-P</t>
  </si>
  <si>
    <t>SL3E-075-P</t>
  </si>
  <si>
    <t>SL3E-076-P</t>
  </si>
  <si>
    <t>SL3E-077-P</t>
  </si>
  <si>
    <t>SL3E-078-P</t>
  </si>
  <si>
    <t>SL3E-079-P</t>
  </si>
  <si>
    <t>SL3E-080-P</t>
  </si>
  <si>
    <t>SL3E-081-P</t>
  </si>
  <si>
    <t>SL3E-082-P</t>
  </si>
  <si>
    <t>SL3E-083-P</t>
  </si>
  <si>
    <t>SL3E-084-P</t>
  </si>
  <si>
    <t>SL3E-085-P</t>
  </si>
  <si>
    <t>SL3E-086</t>
  </si>
  <si>
    <t>SL3E-087</t>
  </si>
  <si>
    <t>SL3E-088</t>
  </si>
  <si>
    <t>SL3E-089</t>
  </si>
  <si>
    <t>SL3E-090</t>
  </si>
  <si>
    <t>SL3E-091</t>
  </si>
  <si>
    <t>SL3E-092</t>
  </si>
  <si>
    <t>SL3E-086-P</t>
  </si>
  <si>
    <t>SL3E-087-P</t>
  </si>
  <si>
    <t>SL3E-088-P</t>
  </si>
  <si>
    <t>SL3E-089-P</t>
  </si>
  <si>
    <t>SL3E-090-P</t>
  </si>
  <si>
    <t>SL3E-091-P</t>
  </si>
  <si>
    <t>SL3E-092-P</t>
  </si>
  <si>
    <t>SL3E-093</t>
  </si>
  <si>
    <t>SL3E-094</t>
  </si>
  <si>
    <t>SL3E-095</t>
  </si>
  <si>
    <t>SL3E-093-P</t>
  </si>
  <si>
    <t>SL3E-094-P</t>
  </si>
  <si>
    <t>SL3E-095-P</t>
  </si>
  <si>
    <t>SL3E-093-SP</t>
  </si>
  <si>
    <t>SL3E-094-SP</t>
  </si>
  <si>
    <t>SL3E-095-SP</t>
  </si>
  <si>
    <t>SL3E-PM 01</t>
  </si>
  <si>
    <t>SL3E-PM 02</t>
  </si>
  <si>
    <t>SL3E-PM 03</t>
  </si>
  <si>
    <t>SL3E-PM 04</t>
  </si>
  <si>
    <t>SL3E-PM 05</t>
  </si>
  <si>
    <t>SL3E-PM 06</t>
  </si>
  <si>
    <t>SL3E-PM 07</t>
  </si>
  <si>
    <t>SL3E-PM-P 01</t>
  </si>
  <si>
    <t>SL3E-PM-P 02</t>
  </si>
  <si>
    <t>SL3E-PM-P 03</t>
  </si>
  <si>
    <t>SL3E-PM-P 04</t>
  </si>
  <si>
    <t>SL3E-PM-P 05</t>
  </si>
  <si>
    <t>SL3E-PM-P 06</t>
  </si>
  <si>
    <t>SL3E-PM-P 07</t>
  </si>
  <si>
    <t>SL3E-SG01</t>
  </si>
  <si>
    <t>SL3E</t>
  </si>
  <si>
    <t>MA DONGWOOK</t>
  </si>
  <si>
    <t>LIM TAE-GYU</t>
  </si>
  <si>
    <t>LEE MINSUNG</t>
  </si>
  <si>
    <t>HUNTERS GUILD</t>
  </si>
  <si>
    <t>MATSUMOTO SHIGEO</t>
  </si>
  <si>
    <t>HANEKAWA</t>
  </si>
  <si>
    <t>SUGIMOTO REIJI</t>
  </si>
  <si>
    <t>SHIMIZU AKARI</t>
  </si>
  <si>
    <t>ISHIDA MARI</t>
  </si>
  <si>
    <t>FUJISHIMA TATSUMI</t>
  </si>
  <si>
    <t>TANAKA KENZO</t>
  </si>
  <si>
    <t>YTAWATA KANAE</t>
  </si>
  <si>
    <t>KEI</t>
  </si>
  <si>
    <t>KUMAMOTO ATSUSHI</t>
  </si>
  <si>
    <t>IZAWA IPPEI</t>
  </si>
  <si>
    <t>HOSHINO MINORU</t>
  </si>
  <si>
    <t>SHADOW ARMY</t>
  </si>
  <si>
    <t>KAISEL</t>
  </si>
  <si>
    <t>BERU</t>
  </si>
  <si>
    <t>ESIL RADIRU</t>
  </si>
  <si>
    <t>BORGON RADIRU</t>
  </si>
  <si>
    <t>WYVERN KAISELLIN</t>
  </si>
  <si>
    <t>BARAN, THE DEMON KING</t>
  </si>
  <si>
    <t>ANT</t>
  </si>
  <si>
    <t>ANT KING</t>
  </si>
  <si>
    <t>GOTO RYUJI</t>
  </si>
  <si>
    <t>SUNG JINWOO/YOO JINHO/GO GUNHEE/WOO JINCHUL</t>
  </si>
  <si>
    <t>CHOI JONG-IN/CHA HAE-IN</t>
  </si>
  <si>
    <t>BAEK YOONHO/MIN BYUNG-GU</t>
  </si>
  <si>
    <t>IGRIS/TUSK/TANK/IRON</t>
  </si>
  <si>
    <t>HWAN DONGSOO</t>
  </si>
  <si>
    <t>ANT KING/BERU</t>
  </si>
  <si>
    <t>SUNG JINWOO &amp; ESIL RADIRU</t>
  </si>
  <si>
    <t>SUNG JINAH &amp; HAN SONG-YI</t>
  </si>
  <si>
    <t>BAEK YOONHO &amp; MIN BYUNG-GU</t>
  </si>
  <si>
    <t xml:space="preserve">GO GUNHEE &amp; WOO JINCHUL       </t>
  </si>
  <si>
    <t>SUNG JINWOO &amp; SUNG JINAH</t>
  </si>
  <si>
    <t>BAEK YOONHO &amp; CHOI JONG-IN</t>
  </si>
  <si>
    <t xml:space="preserve">SUNG JINWOO &amp; ANT KING </t>
  </si>
  <si>
    <t xml:space="preserve">SUNG JINWO &amp; SUNG JINAH &amp; PARK KYUNG-HYE    </t>
  </si>
  <si>
    <t xml:space="preserve">BAEK YOONHO &amp; CHOI JONG-IN         </t>
  </si>
  <si>
    <t>SUNG JINWOO &amp; BERU</t>
  </si>
  <si>
    <t xml:space="preserve">SUNG JINWOO/CHA HAE-IN/CHOI JONG-IN/BAEK YOONHO       </t>
  </si>
  <si>
    <t xml:space="preserve">CHOI JONG-IN         </t>
  </si>
  <si>
    <t>ordinamento</t>
  </si>
  <si>
    <t>set</t>
  </si>
  <si>
    <t>SET001</t>
  </si>
  <si>
    <t>SET003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</si>
  <si>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</si>
  <si>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</si>
  <si>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</si>
  <si>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</si>
  <si>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</si>
  <si>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</si>
  <si>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</si>
  <si>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</si>
  <si>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</si>
  <si>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</si>
  <si>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</si>
  <si>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</si>
  <si>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</si>
  <si>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</si>
  <si>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</si>
  <si>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</si>
  <si>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</si>
  <si>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</si>
  <si>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</si>
  <si>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</si>
  <si>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</si>
  <si>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</si>
  <si>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</si>
  <si>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</si>
  <si>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</si>
  <si>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</si>
  <si>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</si>
  <si>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</si>
  <si>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</si>
  <si>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</si>
  <si>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</si>
  <si>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</si>
  <si>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</si>
  <si>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</si>
  <si>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</si>
  <si>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</si>
  <si>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</si>
  <si>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</si>
  <si>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</si>
  <si>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</si>
  <si>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</si>
  <si>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</si>
  <si>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</si>
  <si>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</si>
  <si>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</si>
  <si>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</si>
  <si>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</si>
  <si>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</si>
  <si>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</si>
  <si>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</si>
  <si>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</si>
  <si>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</si>
  <si>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</si>
  <si>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</si>
  <si>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</si>
  <si>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</si>
  <si>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</si>
  <si>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</si>
  <si>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</si>
  <si>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</si>
  <si>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</si>
  <si>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</si>
  <si>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</si>
  <si>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</si>
  <si>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</si>
  <si>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</si>
  <si>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</si>
  <si>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</si>
  <si>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</si>
  <si>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</si>
  <si>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</si>
  <si>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</si>
  <si>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</si>
  <si>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</si>
  <si>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</si>
  <si>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</si>
  <si>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</si>
  <si>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</si>
  <si>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</si>
  <si>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</si>
  <si>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</si>
  <si>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</si>
  <si>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</si>
  <si>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</si>
  <si>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</si>
  <si>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</si>
  <si>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</si>
  <si>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</si>
  <si>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</si>
  <si>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</si>
  <si>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</si>
  <si>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</si>
  <si>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</si>
  <si>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</si>
  <si>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</si>
  <si>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</si>
  <si>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</si>
  <si>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</si>
  <si>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</si>
  <si>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</si>
  <si>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</si>
  <si>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</si>
  <si>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</si>
  <si>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</si>
  <si>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</si>
  <si>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</si>
  <si>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</si>
  <si>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</si>
  <si>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</si>
  <si>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</si>
  <si>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</si>
  <si>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</si>
  <si>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</si>
  <si>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</si>
  <si>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</si>
  <si>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</si>
  <si>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</si>
  <si>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</si>
  <si>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</si>
  <si>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</si>
  <si>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</si>
  <si>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</si>
  <si>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</si>
  <si>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</si>
  <si>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</si>
  <si>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</si>
  <si>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</si>
  <si>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</si>
  <si>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</si>
  <si>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</si>
  <si>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</si>
  <si>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</si>
  <si>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</si>
  <si>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</si>
  <si>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</si>
  <si>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</si>
  <si>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</si>
  <si>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</si>
  <si>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</si>
  <si>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</si>
  <si>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</si>
  <si>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</si>
  <si>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</si>
  <si>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</si>
  <si>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</si>
  <si>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</si>
  <si>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</si>
  <si>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</si>
  <si>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UPDATE CardPool SET cards_Display_Order = '</t>
  </si>
  <si>
    <t>' WHERE CardCode = '</t>
  </si>
  <si>
    <t>';</t>
  </si>
  <si>
    <t>SET002</t>
  </si>
  <si>
    <t>SL1E-PM 01</t>
  </si>
  <si>
    <t>SL1E-PM 02</t>
  </si>
  <si>
    <t>SL1E-PM 03</t>
  </si>
  <si>
    <t>SL1E-PM 04</t>
  </si>
  <si>
    <t>SL1E-PM 05</t>
  </si>
  <si>
    <t>SL1E-PM 06</t>
  </si>
  <si>
    <t>SL1E-PM 07</t>
  </si>
  <si>
    <t>SL1E-PM 08</t>
  </si>
  <si>
    <t>SL1E-PM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</si>
</sst>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49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436A-7B09-4094-9538-EEC132692D7A}">
  <dimension ref="A1:P130"/>
  <sheetViews>
    <sheetView tabSelected="1" topLeftCell="A112" workbookViewId="0">
      <selection activeCell="P122" sqref="P122:P130"/>
    </sheetView>
  </sheetViews>
  <sheetFormatPr defaultRowHeight="15" x14ac:dyDescent="0.25"/>
  <cols>
    <col min="1" max="1" width="11.42578125" bestFit="1" customWidth="1"/>
    <col min="4" max="4" width="48.28515625" bestFit="1" customWidth="1"/>
    <col min="9" max="9" width="33.85546875" bestFit="1" customWidth="1"/>
    <col min="12" max="12" width="11" bestFit="1" customWidth="1"/>
  </cols>
  <sheetData>
    <row r="1" spans="1:16" x14ac:dyDescent="0.25">
      <c r="A1" t="s">
        <v>3</v>
      </c>
      <c r="B1" t="s">
        <v>0</v>
      </c>
      <c r="C1" t="s">
        <v>1</v>
      </c>
      <c r="D1" t="s">
        <v>2</v>
      </c>
      <c r="J1" t="s">
        <v>554</v>
      </c>
      <c r="K1" s="2" t="s">
        <v>553</v>
      </c>
      <c r="L1" s="3"/>
    </row>
    <row r="2" spans="1:16" x14ac:dyDescent="0.25">
      <c r="A2" t="s">
        <v>207</v>
      </c>
      <c r="B2" t="s">
        <v>299</v>
      </c>
      <c r="C2" t="s">
        <v>138</v>
      </c>
      <c r="D2" t="s">
        <v>155</v>
      </c>
      <c r="E2" t="s">
        <v>204</v>
      </c>
      <c r="F2" s="1" t="s">
        <v>205</v>
      </c>
      <c r="G2" s="1" t="s">
        <v>206</v>
      </c>
      <c r="H2" s="1" t="s">
        <v>359</v>
      </c>
      <c r="I2" t="str">
        <f>CONCATENATE(E2,A2,F2,B2,F2,C2,F2,D2,G2,H2)</f>
        <v>('SL1E-001','SL1E','C','SUNG JINWOO'),</v>
      </c>
      <c r="J2" t="s">
        <v>555</v>
      </c>
      <c r="K2" s="2" t="s">
        <v>557</v>
      </c>
      <c r="L2" s="3" t="str">
        <f>_xlfn.CONCAT(J2,"_",K2)</f>
        <v>SET001_001</v>
      </c>
      <c r="M2" t="s">
        <v>705</v>
      </c>
      <c r="N2" t="s">
        <v>706</v>
      </c>
      <c r="O2" t="s">
        <v>707</v>
      </c>
      <c r="P2" t="str">
        <f>_xlfn.CONCAT(M2,L2,N2,A2,O2)</f>
        <v>UPDATE CardPool SET cards_Display_Order = 'SET001_001' WHERE CardCode = 'SL1E-001';</v>
      </c>
    </row>
    <row r="3" spans="1:16" x14ac:dyDescent="0.25">
      <c r="A3" t="s">
        <v>208</v>
      </c>
      <c r="B3" t="s">
        <v>299</v>
      </c>
      <c r="C3" t="s">
        <v>138</v>
      </c>
      <c r="D3" t="s">
        <v>155</v>
      </c>
      <c r="E3" t="s">
        <v>204</v>
      </c>
      <c r="F3" s="1" t="s">
        <v>205</v>
      </c>
      <c r="G3" s="1" t="s">
        <v>206</v>
      </c>
      <c r="H3" s="1" t="s">
        <v>359</v>
      </c>
      <c r="I3" t="str">
        <f t="shared" ref="I3:I66" si="0">CONCATENATE(E3,A3,F3,B3,F3,C3,F3,D3,G3,H3)</f>
        <v>('SL1E-002','SL1E','C','SUNG JINWOO'),</v>
      </c>
      <c r="J3" t="s">
        <v>555</v>
      </c>
      <c r="K3" s="2" t="s">
        <v>558</v>
      </c>
      <c r="L3" s="3" t="str">
        <f t="shared" ref="L3:L66" si="1">_xlfn.CONCAT(J3,"_",K3)</f>
        <v>SET001_002</v>
      </c>
      <c r="M3" t="s">
        <v>705</v>
      </c>
      <c r="N3" t="s">
        <v>706</v>
      </c>
      <c r="O3" t="s">
        <v>707</v>
      </c>
      <c r="P3" t="str">
        <f t="shared" ref="P3:P66" si="2">_xlfn.CONCAT(M3,L3,N3,A3,O3)</f>
        <v>UPDATE CardPool SET cards_Display_Order = 'SET001_002' WHERE CardCode = 'SL1E-002';</v>
      </c>
    </row>
    <row r="4" spans="1:16" x14ac:dyDescent="0.25">
      <c r="A4" t="s">
        <v>209</v>
      </c>
      <c r="B4" t="s">
        <v>299</v>
      </c>
      <c r="C4" t="s">
        <v>138</v>
      </c>
      <c r="D4" t="s">
        <v>161</v>
      </c>
      <c r="E4" t="s">
        <v>204</v>
      </c>
      <c r="F4" s="1" t="s">
        <v>205</v>
      </c>
      <c r="G4" s="1" t="s">
        <v>206</v>
      </c>
      <c r="H4" s="1" t="s">
        <v>359</v>
      </c>
      <c r="I4" t="str">
        <f t="shared" si="0"/>
        <v>('SL1E-003','SL1E','C','GO GUNHEE'),</v>
      </c>
      <c r="J4" t="s">
        <v>555</v>
      </c>
      <c r="K4" s="2" t="s">
        <v>559</v>
      </c>
      <c r="L4" s="3" t="str">
        <f t="shared" si="1"/>
        <v>SET001_003</v>
      </c>
      <c r="M4" t="s">
        <v>705</v>
      </c>
      <c r="N4" t="s">
        <v>706</v>
      </c>
      <c r="O4" t="s">
        <v>707</v>
      </c>
      <c r="P4" t="str">
        <f t="shared" si="2"/>
        <v>UPDATE CardPool SET cards_Display_Order = 'SET001_003' WHERE CardCode = 'SL1E-003';</v>
      </c>
    </row>
    <row r="5" spans="1:16" x14ac:dyDescent="0.25">
      <c r="A5" t="s">
        <v>210</v>
      </c>
      <c r="B5" t="s">
        <v>299</v>
      </c>
      <c r="C5" t="s">
        <v>138</v>
      </c>
      <c r="D5" t="s">
        <v>160</v>
      </c>
      <c r="E5" t="s">
        <v>204</v>
      </c>
      <c r="F5" s="1" t="s">
        <v>205</v>
      </c>
      <c r="G5" s="1" t="s">
        <v>206</v>
      </c>
      <c r="H5" s="1" t="s">
        <v>359</v>
      </c>
      <c r="I5" t="str">
        <f t="shared" si="0"/>
        <v>('SL1E-004','SL1E','C','WOO JINCHUL'),</v>
      </c>
      <c r="J5" t="s">
        <v>555</v>
      </c>
      <c r="K5" s="2" t="s">
        <v>560</v>
      </c>
      <c r="L5" s="3" t="str">
        <f t="shared" si="1"/>
        <v>SET001_004</v>
      </c>
      <c r="M5" t="s">
        <v>705</v>
      </c>
      <c r="N5" t="s">
        <v>706</v>
      </c>
      <c r="O5" t="s">
        <v>707</v>
      </c>
      <c r="P5" t="str">
        <f t="shared" si="2"/>
        <v>UPDATE CardPool SET cards_Display_Order = 'SET001_004' WHERE CardCode = 'SL1E-004';</v>
      </c>
    </row>
    <row r="6" spans="1:16" x14ac:dyDescent="0.25">
      <c r="A6" t="s">
        <v>211</v>
      </c>
      <c r="B6" t="s">
        <v>299</v>
      </c>
      <c r="C6" t="s">
        <v>138</v>
      </c>
      <c r="D6" t="s">
        <v>158</v>
      </c>
      <c r="E6" t="s">
        <v>204</v>
      </c>
      <c r="F6" s="1" t="s">
        <v>205</v>
      </c>
      <c r="G6" s="1" t="s">
        <v>206</v>
      </c>
      <c r="H6" s="1" t="s">
        <v>359</v>
      </c>
      <c r="I6" t="str">
        <f t="shared" si="0"/>
        <v>('SL1E-005','SL1E','C','CHOI JONG-IN'),</v>
      </c>
      <c r="J6" t="s">
        <v>555</v>
      </c>
      <c r="K6" s="2" t="s">
        <v>561</v>
      </c>
      <c r="L6" s="3" t="str">
        <f t="shared" si="1"/>
        <v>SET001_005</v>
      </c>
      <c r="M6" t="s">
        <v>705</v>
      </c>
      <c r="N6" t="s">
        <v>706</v>
      </c>
      <c r="O6" t="s">
        <v>707</v>
      </c>
      <c r="P6" t="str">
        <f t="shared" si="2"/>
        <v>UPDATE CardPool SET cards_Display_Order = 'SET001_005' WHERE CardCode = 'SL1E-005';</v>
      </c>
    </row>
    <row r="7" spans="1:16" x14ac:dyDescent="0.25">
      <c r="A7" t="s">
        <v>212</v>
      </c>
      <c r="B7" t="s">
        <v>299</v>
      </c>
      <c r="C7" t="s">
        <v>138</v>
      </c>
      <c r="D7" t="s">
        <v>156</v>
      </c>
      <c r="E7" t="s">
        <v>204</v>
      </c>
      <c r="F7" s="1" t="s">
        <v>205</v>
      </c>
      <c r="G7" s="1" t="s">
        <v>206</v>
      </c>
      <c r="H7" s="1" t="s">
        <v>359</v>
      </c>
      <c r="I7" t="str">
        <f t="shared" si="0"/>
        <v>('SL1E-006','SL1E','C','YOO JINHO'),</v>
      </c>
      <c r="J7" t="s">
        <v>555</v>
      </c>
      <c r="K7" s="2" t="s">
        <v>562</v>
      </c>
      <c r="L7" s="3" t="str">
        <f t="shared" si="1"/>
        <v>SET001_006</v>
      </c>
      <c r="M7" t="s">
        <v>705</v>
      </c>
      <c r="N7" t="s">
        <v>706</v>
      </c>
      <c r="O7" t="s">
        <v>707</v>
      </c>
      <c r="P7" t="str">
        <f t="shared" si="2"/>
        <v>UPDATE CardPool SET cards_Display_Order = 'SET001_006' WHERE CardCode = 'SL1E-006';</v>
      </c>
    </row>
    <row r="8" spans="1:16" x14ac:dyDescent="0.25">
      <c r="A8" t="s">
        <v>213</v>
      </c>
      <c r="B8" t="s">
        <v>299</v>
      </c>
      <c r="C8" t="s">
        <v>138</v>
      </c>
      <c r="D8" t="s">
        <v>159</v>
      </c>
      <c r="E8" t="s">
        <v>204</v>
      </c>
      <c r="F8" s="1" t="s">
        <v>205</v>
      </c>
      <c r="G8" s="1" t="s">
        <v>206</v>
      </c>
      <c r="H8" s="1" t="s">
        <v>359</v>
      </c>
      <c r="I8" t="str">
        <f t="shared" si="0"/>
        <v>('SL1E-007','SL1E','C','CHA HAE-IN'),</v>
      </c>
      <c r="J8" t="s">
        <v>555</v>
      </c>
      <c r="K8" s="2" t="s">
        <v>563</v>
      </c>
      <c r="L8" s="3" t="str">
        <f t="shared" si="1"/>
        <v>SET001_007</v>
      </c>
      <c r="M8" t="s">
        <v>705</v>
      </c>
      <c r="N8" t="s">
        <v>706</v>
      </c>
      <c r="O8" t="s">
        <v>707</v>
      </c>
      <c r="P8" t="str">
        <f t="shared" si="2"/>
        <v>UPDATE CardPool SET cards_Display_Order = 'SET001_007' WHERE CardCode = 'SL1E-007';</v>
      </c>
    </row>
    <row r="9" spans="1:16" x14ac:dyDescent="0.25">
      <c r="A9" t="s">
        <v>214</v>
      </c>
      <c r="B9" t="s">
        <v>299</v>
      </c>
      <c r="C9" t="s">
        <v>138</v>
      </c>
      <c r="D9" t="s">
        <v>157</v>
      </c>
      <c r="E9" t="s">
        <v>204</v>
      </c>
      <c r="F9" s="1" t="s">
        <v>205</v>
      </c>
      <c r="G9" s="1" t="s">
        <v>206</v>
      </c>
      <c r="H9" s="1" t="s">
        <v>359</v>
      </c>
      <c r="I9" t="str">
        <f t="shared" si="0"/>
        <v>('SL1E-008','SL1E','C','BAEK YOONHO'),</v>
      </c>
      <c r="J9" t="s">
        <v>555</v>
      </c>
      <c r="K9" s="2" t="s">
        <v>564</v>
      </c>
      <c r="L9" s="3" t="str">
        <f t="shared" si="1"/>
        <v>SET001_008</v>
      </c>
      <c r="M9" t="s">
        <v>705</v>
      </c>
      <c r="N9" t="s">
        <v>706</v>
      </c>
      <c r="O9" t="s">
        <v>707</v>
      </c>
      <c r="P9" t="str">
        <f t="shared" si="2"/>
        <v>UPDATE CardPool SET cards_Display_Order = 'SET001_008' WHERE CardCode = 'SL1E-008';</v>
      </c>
    </row>
    <row r="10" spans="1:16" x14ac:dyDescent="0.25">
      <c r="A10" t="s">
        <v>215</v>
      </c>
      <c r="B10" t="s">
        <v>299</v>
      </c>
      <c r="C10" t="s">
        <v>138</v>
      </c>
      <c r="D10" t="s">
        <v>328</v>
      </c>
      <c r="E10" t="s">
        <v>204</v>
      </c>
      <c r="F10" s="1" t="s">
        <v>205</v>
      </c>
      <c r="G10" s="1" t="s">
        <v>206</v>
      </c>
      <c r="H10" s="1" t="s">
        <v>359</v>
      </c>
      <c r="I10" t="str">
        <f t="shared" si="0"/>
        <v>('SL1E-009','SL1E','C','SONG CHIYUL'),</v>
      </c>
      <c r="J10" t="s">
        <v>555</v>
      </c>
      <c r="K10" s="2" t="s">
        <v>565</v>
      </c>
      <c r="L10" s="3" t="str">
        <f t="shared" si="1"/>
        <v>SET001_009</v>
      </c>
      <c r="M10" t="s">
        <v>705</v>
      </c>
      <c r="N10" t="s">
        <v>706</v>
      </c>
      <c r="O10" t="s">
        <v>707</v>
      </c>
      <c r="P10" t="str">
        <f t="shared" si="2"/>
        <v>UPDATE CardPool SET cards_Display_Order = 'SET001_009' WHERE CardCode = 'SL1E-009';</v>
      </c>
    </row>
    <row r="11" spans="1:16" x14ac:dyDescent="0.25">
      <c r="A11" t="s">
        <v>216</v>
      </c>
      <c r="B11" t="s">
        <v>299</v>
      </c>
      <c r="C11" t="s">
        <v>138</v>
      </c>
      <c r="D11" t="s">
        <v>162</v>
      </c>
      <c r="E11" t="s">
        <v>204</v>
      </c>
      <c r="F11" s="1" t="s">
        <v>205</v>
      </c>
      <c r="G11" s="1" t="s">
        <v>206</v>
      </c>
      <c r="H11" s="1" t="s">
        <v>359</v>
      </c>
      <c r="I11" t="str">
        <f t="shared" si="0"/>
        <v>('SL1E-010','SL1E','C','SUNG JINAH'),</v>
      </c>
      <c r="J11" t="s">
        <v>555</v>
      </c>
      <c r="K11" s="2" t="s">
        <v>566</v>
      </c>
      <c r="L11" s="3" t="str">
        <f t="shared" si="1"/>
        <v>SET001_010</v>
      </c>
      <c r="M11" t="s">
        <v>705</v>
      </c>
      <c r="N11" t="s">
        <v>706</v>
      </c>
      <c r="O11" t="s">
        <v>707</v>
      </c>
      <c r="P11" t="str">
        <f t="shared" si="2"/>
        <v>UPDATE CardPool SET cards_Display_Order = 'SET001_010' WHERE CardCode = 'SL1E-010';</v>
      </c>
    </row>
    <row r="12" spans="1:16" x14ac:dyDescent="0.25">
      <c r="A12" t="s">
        <v>217</v>
      </c>
      <c r="B12" t="s">
        <v>299</v>
      </c>
      <c r="C12" t="s">
        <v>138</v>
      </c>
      <c r="D12" t="s">
        <v>329</v>
      </c>
      <c r="E12" t="s">
        <v>204</v>
      </c>
      <c r="F12" s="1" t="s">
        <v>205</v>
      </c>
      <c r="G12" s="1" t="s">
        <v>206</v>
      </c>
      <c r="H12" s="1" t="s">
        <v>359</v>
      </c>
      <c r="I12" t="str">
        <f t="shared" si="0"/>
        <v>('SL1E-011','SL1E','C','KANG TAESHIK'),</v>
      </c>
      <c r="J12" t="s">
        <v>555</v>
      </c>
      <c r="K12" s="2" t="s">
        <v>567</v>
      </c>
      <c r="L12" s="3" t="str">
        <f t="shared" si="1"/>
        <v>SET001_011</v>
      </c>
      <c r="M12" t="s">
        <v>705</v>
      </c>
      <c r="N12" t="s">
        <v>706</v>
      </c>
      <c r="O12" t="s">
        <v>707</v>
      </c>
      <c r="P12" t="str">
        <f t="shared" si="2"/>
        <v>UPDATE CardPool SET cards_Display_Order = 'SET001_011' WHERE CardCode = 'SL1E-011';</v>
      </c>
    </row>
    <row r="13" spans="1:16" x14ac:dyDescent="0.25">
      <c r="A13" t="s">
        <v>218</v>
      </c>
      <c r="B13" t="s">
        <v>299</v>
      </c>
      <c r="C13" t="s">
        <v>138</v>
      </c>
      <c r="D13" t="s">
        <v>179</v>
      </c>
      <c r="E13" t="s">
        <v>204</v>
      </c>
      <c r="F13" s="1" t="s">
        <v>205</v>
      </c>
      <c r="G13" s="1" t="s">
        <v>206</v>
      </c>
      <c r="H13" s="1" t="s">
        <v>359</v>
      </c>
      <c r="I13" t="str">
        <f t="shared" si="0"/>
        <v>('SL1E-012','SL1E','C','PARK KYUNG-HYE'),</v>
      </c>
      <c r="J13" t="s">
        <v>555</v>
      </c>
      <c r="K13" s="2" t="s">
        <v>568</v>
      </c>
      <c r="L13" s="3" t="str">
        <f t="shared" si="1"/>
        <v>SET001_012</v>
      </c>
      <c r="M13" t="s">
        <v>705</v>
      </c>
      <c r="N13" t="s">
        <v>706</v>
      </c>
      <c r="O13" t="s">
        <v>707</v>
      </c>
      <c r="P13" t="str">
        <f t="shared" si="2"/>
        <v>UPDATE CardPool SET cards_Display_Order = 'SET001_012' WHERE CardCode = 'SL1E-012';</v>
      </c>
    </row>
    <row r="14" spans="1:16" x14ac:dyDescent="0.25">
      <c r="A14" t="s">
        <v>219</v>
      </c>
      <c r="B14" t="s">
        <v>299</v>
      </c>
      <c r="C14" t="s">
        <v>138</v>
      </c>
      <c r="D14" t="s">
        <v>330</v>
      </c>
      <c r="E14" t="s">
        <v>204</v>
      </c>
      <c r="F14" s="1" t="s">
        <v>205</v>
      </c>
      <c r="G14" s="1" t="s">
        <v>206</v>
      </c>
      <c r="H14" s="1" t="s">
        <v>359</v>
      </c>
      <c r="I14" t="str">
        <f t="shared" si="0"/>
        <v>('SL1E-013','SL1E','C','LEE JOOHEE'),</v>
      </c>
      <c r="J14" t="s">
        <v>555</v>
      </c>
      <c r="K14" s="2" t="s">
        <v>569</v>
      </c>
      <c r="L14" s="3" t="str">
        <f t="shared" si="1"/>
        <v>SET001_013</v>
      </c>
      <c r="M14" t="s">
        <v>705</v>
      </c>
      <c r="N14" t="s">
        <v>706</v>
      </c>
      <c r="O14" t="s">
        <v>707</v>
      </c>
      <c r="P14" t="str">
        <f t="shared" si="2"/>
        <v>UPDATE CardPool SET cards_Display_Order = 'SET001_013' WHERE CardCode = 'SL1E-013';</v>
      </c>
    </row>
    <row r="15" spans="1:16" x14ac:dyDescent="0.25">
      <c r="A15" t="s">
        <v>220</v>
      </c>
      <c r="B15" t="s">
        <v>299</v>
      </c>
      <c r="C15" t="s">
        <v>138</v>
      </c>
      <c r="D15" t="s">
        <v>331</v>
      </c>
      <c r="E15" t="s">
        <v>204</v>
      </c>
      <c r="F15" s="1" t="s">
        <v>205</v>
      </c>
      <c r="G15" s="1" t="s">
        <v>206</v>
      </c>
      <c r="H15" s="1" t="s">
        <v>359</v>
      </c>
      <c r="I15" t="str">
        <f t="shared" si="0"/>
        <v>('SL1E-014','SL1E','C','KYUHWAN'),</v>
      </c>
      <c r="J15" t="s">
        <v>555</v>
      </c>
      <c r="K15" s="2" t="s">
        <v>570</v>
      </c>
      <c r="L15" s="3" t="str">
        <f t="shared" si="1"/>
        <v>SET001_014</v>
      </c>
      <c r="M15" t="s">
        <v>705</v>
      </c>
      <c r="N15" t="s">
        <v>706</v>
      </c>
      <c r="O15" t="s">
        <v>707</v>
      </c>
      <c r="P15" t="str">
        <f t="shared" si="2"/>
        <v>UPDATE CardPool SET cards_Display_Order = 'SET001_014' WHERE CardCode = 'SL1E-014';</v>
      </c>
    </row>
    <row r="16" spans="1:16" x14ac:dyDescent="0.25">
      <c r="A16" t="s">
        <v>221</v>
      </c>
      <c r="B16" t="s">
        <v>299</v>
      </c>
      <c r="C16" t="s">
        <v>138</v>
      </c>
      <c r="D16" t="s">
        <v>332</v>
      </c>
      <c r="E16" t="s">
        <v>204</v>
      </c>
      <c r="F16" s="1" t="s">
        <v>205</v>
      </c>
      <c r="G16" s="1" t="s">
        <v>206</v>
      </c>
      <c r="H16" s="1" t="s">
        <v>359</v>
      </c>
      <c r="I16" t="str">
        <f t="shared" si="0"/>
        <v>('SL1E-015','SL1E','C','JINSUK'),</v>
      </c>
      <c r="J16" t="s">
        <v>555</v>
      </c>
      <c r="K16" s="2" t="s">
        <v>571</v>
      </c>
      <c r="L16" s="3" t="str">
        <f t="shared" si="1"/>
        <v>SET001_015</v>
      </c>
      <c r="M16" t="s">
        <v>705</v>
      </c>
      <c r="N16" t="s">
        <v>706</v>
      </c>
      <c r="O16" t="s">
        <v>707</v>
      </c>
      <c r="P16" t="str">
        <f t="shared" si="2"/>
        <v>UPDATE CardPool SET cards_Display_Order = 'SET001_015' WHERE CardCode = 'SL1E-015';</v>
      </c>
    </row>
    <row r="17" spans="1:16" x14ac:dyDescent="0.25">
      <c r="A17" t="s">
        <v>222</v>
      </c>
      <c r="B17" t="s">
        <v>299</v>
      </c>
      <c r="C17" t="s">
        <v>138</v>
      </c>
      <c r="D17" t="s">
        <v>333</v>
      </c>
      <c r="E17" t="s">
        <v>204</v>
      </c>
      <c r="F17" s="1" t="s">
        <v>205</v>
      </c>
      <c r="G17" s="1" t="s">
        <v>206</v>
      </c>
      <c r="H17" s="1" t="s">
        <v>359</v>
      </c>
      <c r="I17" t="str">
        <f t="shared" si="0"/>
        <v>('SL1E-016','SL1E','C','HWANG DONGSUK'),</v>
      </c>
      <c r="J17" t="s">
        <v>555</v>
      </c>
      <c r="K17" s="2" t="s">
        <v>572</v>
      </c>
      <c r="L17" s="3" t="str">
        <f t="shared" si="1"/>
        <v>SET001_016</v>
      </c>
      <c r="M17" t="s">
        <v>705</v>
      </c>
      <c r="N17" t="s">
        <v>706</v>
      </c>
      <c r="O17" t="s">
        <v>707</v>
      </c>
      <c r="P17" t="str">
        <f t="shared" si="2"/>
        <v>UPDATE CardPool SET cards_Display_Order = 'SET001_016' WHERE CardCode = 'SL1E-016';</v>
      </c>
    </row>
    <row r="18" spans="1:16" x14ac:dyDescent="0.25">
      <c r="A18" t="s">
        <v>223</v>
      </c>
      <c r="B18" t="s">
        <v>299</v>
      </c>
      <c r="C18" t="s">
        <v>138</v>
      </c>
      <c r="D18" t="s">
        <v>176</v>
      </c>
      <c r="E18" t="s">
        <v>204</v>
      </c>
      <c r="F18" s="1" t="s">
        <v>205</v>
      </c>
      <c r="G18" s="1" t="s">
        <v>206</v>
      </c>
      <c r="H18" s="1" t="s">
        <v>359</v>
      </c>
      <c r="I18" t="str">
        <f t="shared" si="0"/>
        <v>('SL1E-017','SL1E','C','PARK HEEJIN'),</v>
      </c>
      <c r="J18" t="s">
        <v>555</v>
      </c>
      <c r="K18" s="2" t="s">
        <v>573</v>
      </c>
      <c r="L18" s="3" t="str">
        <f t="shared" si="1"/>
        <v>SET001_017</v>
      </c>
      <c r="M18" t="s">
        <v>705</v>
      </c>
      <c r="N18" t="s">
        <v>706</v>
      </c>
      <c r="O18" t="s">
        <v>707</v>
      </c>
      <c r="P18" t="str">
        <f t="shared" si="2"/>
        <v>UPDATE CardPool SET cards_Display_Order = 'SET001_017' WHERE CardCode = 'SL1E-017';</v>
      </c>
    </row>
    <row r="19" spans="1:16" x14ac:dyDescent="0.25">
      <c r="A19" t="s">
        <v>224</v>
      </c>
      <c r="B19" t="s">
        <v>299</v>
      </c>
      <c r="C19" t="s">
        <v>138</v>
      </c>
      <c r="D19" t="s">
        <v>166</v>
      </c>
      <c r="E19" t="s">
        <v>204</v>
      </c>
      <c r="F19" s="1" t="s">
        <v>205</v>
      </c>
      <c r="G19" s="1" t="s">
        <v>206</v>
      </c>
      <c r="H19" s="1" t="s">
        <v>359</v>
      </c>
      <c r="I19" t="str">
        <f t="shared" si="0"/>
        <v>('SL1E-018','SL1E','C','GINA'),</v>
      </c>
      <c r="J19" t="s">
        <v>555</v>
      </c>
      <c r="K19" s="2" t="s">
        <v>574</v>
      </c>
      <c r="L19" s="3" t="str">
        <f t="shared" si="1"/>
        <v>SET001_018</v>
      </c>
      <c r="M19" t="s">
        <v>705</v>
      </c>
      <c r="N19" t="s">
        <v>706</v>
      </c>
      <c r="O19" t="s">
        <v>707</v>
      </c>
      <c r="P19" t="str">
        <f t="shared" si="2"/>
        <v>UPDATE CardPool SET cards_Display_Order = 'SET001_018' WHERE CardCode = 'SL1E-018';</v>
      </c>
    </row>
    <row r="20" spans="1:16" x14ac:dyDescent="0.25">
      <c r="A20" t="s">
        <v>225</v>
      </c>
      <c r="B20" t="s">
        <v>299</v>
      </c>
      <c r="C20" t="s">
        <v>138</v>
      </c>
      <c r="D20" t="s">
        <v>334</v>
      </c>
      <c r="E20" t="s">
        <v>204</v>
      </c>
      <c r="F20" s="1" t="s">
        <v>205</v>
      </c>
      <c r="G20" s="1" t="s">
        <v>206</v>
      </c>
      <c r="H20" s="1" t="s">
        <v>359</v>
      </c>
      <c r="I20" t="str">
        <f t="shared" si="0"/>
        <v>('SL1E-019','SL1E','C','JOONTAE'),</v>
      </c>
      <c r="J20" t="s">
        <v>555</v>
      </c>
      <c r="K20" s="2" t="s">
        <v>575</v>
      </c>
      <c r="L20" s="3" t="str">
        <f t="shared" si="1"/>
        <v>SET001_019</v>
      </c>
      <c r="M20" t="s">
        <v>705</v>
      </c>
      <c r="N20" t="s">
        <v>706</v>
      </c>
      <c r="O20" t="s">
        <v>707</v>
      </c>
      <c r="P20" t="str">
        <f t="shared" si="2"/>
        <v>UPDATE CardPool SET cards_Display_Order = 'SET001_019' WHERE CardCode = 'SL1E-019';</v>
      </c>
    </row>
    <row r="21" spans="1:16" x14ac:dyDescent="0.25">
      <c r="A21" t="s">
        <v>226</v>
      </c>
      <c r="B21" t="s">
        <v>299</v>
      </c>
      <c r="C21" t="s">
        <v>138</v>
      </c>
      <c r="D21" t="s">
        <v>335</v>
      </c>
      <c r="E21" t="s">
        <v>204</v>
      </c>
      <c r="F21" s="1" t="s">
        <v>205</v>
      </c>
      <c r="G21" s="1" t="s">
        <v>206</v>
      </c>
      <c r="H21" s="1" t="s">
        <v>359</v>
      </c>
      <c r="I21" t="str">
        <f t="shared" si="0"/>
        <v>('SL1E-020','SL1E','C','LAURA'),</v>
      </c>
      <c r="J21" t="s">
        <v>555</v>
      </c>
      <c r="K21" s="2" t="s">
        <v>576</v>
      </c>
      <c r="L21" s="3" t="str">
        <f t="shared" si="1"/>
        <v>SET001_020</v>
      </c>
      <c r="M21" t="s">
        <v>705</v>
      </c>
      <c r="N21" t="s">
        <v>706</v>
      </c>
      <c r="O21" t="s">
        <v>707</v>
      </c>
      <c r="P21" t="str">
        <f t="shared" si="2"/>
        <v>UPDATE CardPool SET cards_Display_Order = 'SET001_020' WHERE CardCode = 'SL1E-020';</v>
      </c>
    </row>
    <row r="22" spans="1:16" x14ac:dyDescent="0.25">
      <c r="A22" t="s">
        <v>227</v>
      </c>
      <c r="B22" t="s">
        <v>299</v>
      </c>
      <c r="C22" t="s">
        <v>138</v>
      </c>
      <c r="D22" t="s">
        <v>174</v>
      </c>
      <c r="E22" t="s">
        <v>204</v>
      </c>
      <c r="F22" s="1" t="s">
        <v>205</v>
      </c>
      <c r="G22" s="1" t="s">
        <v>206</v>
      </c>
      <c r="H22" s="1" t="s">
        <v>359</v>
      </c>
      <c r="I22" t="str">
        <f t="shared" si="0"/>
        <v>('SL1E-021','SL1E','C','HWANG DONGSOO'),</v>
      </c>
      <c r="J22" t="s">
        <v>555</v>
      </c>
      <c r="K22" s="2" t="s">
        <v>577</v>
      </c>
      <c r="L22" s="3" t="str">
        <f t="shared" si="1"/>
        <v>SET001_021</v>
      </c>
      <c r="M22" t="s">
        <v>705</v>
      </c>
      <c r="N22" t="s">
        <v>706</v>
      </c>
      <c r="O22" t="s">
        <v>707</v>
      </c>
      <c r="P22" t="str">
        <f t="shared" si="2"/>
        <v>UPDATE CardPool SET cards_Display_Order = 'SET001_021' WHERE CardCode = 'SL1E-021';</v>
      </c>
    </row>
    <row r="23" spans="1:16" x14ac:dyDescent="0.25">
      <c r="A23" t="s">
        <v>228</v>
      </c>
      <c r="B23" t="s">
        <v>299</v>
      </c>
      <c r="C23" t="s">
        <v>138</v>
      </c>
      <c r="D23" t="s">
        <v>181</v>
      </c>
      <c r="E23" t="s">
        <v>204</v>
      </c>
      <c r="F23" s="1" t="s">
        <v>205</v>
      </c>
      <c r="G23" s="1" t="s">
        <v>206</v>
      </c>
      <c r="H23" s="1" t="s">
        <v>359</v>
      </c>
      <c r="I23" t="str">
        <f t="shared" si="0"/>
        <v>('SL1E-022','SL1E','C','AHN SANGMIN'),</v>
      </c>
      <c r="J23" t="s">
        <v>555</v>
      </c>
      <c r="K23" s="2" t="s">
        <v>578</v>
      </c>
      <c r="L23" s="3" t="str">
        <f t="shared" si="1"/>
        <v>SET001_022</v>
      </c>
      <c r="M23" t="s">
        <v>705</v>
      </c>
      <c r="N23" t="s">
        <v>706</v>
      </c>
      <c r="O23" t="s">
        <v>707</v>
      </c>
      <c r="P23" t="str">
        <f t="shared" si="2"/>
        <v>UPDATE CardPool SET cards_Display_Order = 'SET001_022' WHERE CardCode = 'SL1E-022';</v>
      </c>
    </row>
    <row r="24" spans="1:16" x14ac:dyDescent="0.25">
      <c r="A24" t="s">
        <v>229</v>
      </c>
      <c r="B24" t="s">
        <v>299</v>
      </c>
      <c r="C24" t="s">
        <v>138</v>
      </c>
      <c r="D24" t="s">
        <v>182</v>
      </c>
      <c r="E24" t="s">
        <v>204</v>
      </c>
      <c r="F24" s="1" t="s">
        <v>205</v>
      </c>
      <c r="G24" s="1" t="s">
        <v>206</v>
      </c>
      <c r="H24" s="1" t="s">
        <v>359</v>
      </c>
      <c r="I24" t="str">
        <f t="shared" si="0"/>
        <v>('SL1E-023','SL1E','C','HYUN KICHUL'),</v>
      </c>
      <c r="J24" t="s">
        <v>555</v>
      </c>
      <c r="K24" s="2" t="s">
        <v>579</v>
      </c>
      <c r="L24" s="3" t="str">
        <f t="shared" si="1"/>
        <v>SET001_023</v>
      </c>
      <c r="M24" t="s">
        <v>705</v>
      </c>
      <c r="N24" t="s">
        <v>706</v>
      </c>
      <c r="O24" t="s">
        <v>707</v>
      </c>
      <c r="P24" t="str">
        <f t="shared" si="2"/>
        <v>UPDATE CardPool SET cards_Display_Order = 'SET001_023' WHERE CardCode = 'SL1E-023';</v>
      </c>
    </row>
    <row r="25" spans="1:16" x14ac:dyDescent="0.25">
      <c r="A25" t="s">
        <v>230</v>
      </c>
      <c r="B25" t="s">
        <v>299</v>
      </c>
      <c r="C25" t="s">
        <v>138</v>
      </c>
      <c r="D25" t="s">
        <v>336</v>
      </c>
      <c r="E25" t="s">
        <v>204</v>
      </c>
      <c r="F25" s="1" t="s">
        <v>205</v>
      </c>
      <c r="G25" s="1" t="s">
        <v>206</v>
      </c>
      <c r="H25" s="1" t="s">
        <v>359</v>
      </c>
      <c r="I25" t="str">
        <f t="shared" si="0"/>
        <v>('SL1E-024','SL1E','C','YOO JIMSUNG'),</v>
      </c>
      <c r="J25" t="s">
        <v>555</v>
      </c>
      <c r="K25" s="2" t="s">
        <v>580</v>
      </c>
      <c r="L25" s="3" t="str">
        <f t="shared" si="1"/>
        <v>SET001_024</v>
      </c>
      <c r="M25" t="s">
        <v>705</v>
      </c>
      <c r="N25" t="s">
        <v>706</v>
      </c>
      <c r="O25" t="s">
        <v>707</v>
      </c>
      <c r="P25" t="str">
        <f t="shared" si="2"/>
        <v>UPDATE CardPool SET cards_Display_Order = 'SET001_024' WHERE CardCode = 'SL1E-024';</v>
      </c>
    </row>
    <row r="26" spans="1:16" x14ac:dyDescent="0.25">
      <c r="A26" t="s">
        <v>231</v>
      </c>
      <c r="B26" t="s">
        <v>299</v>
      </c>
      <c r="C26" t="s">
        <v>138</v>
      </c>
      <c r="D26" t="s">
        <v>164</v>
      </c>
      <c r="E26" t="s">
        <v>204</v>
      </c>
      <c r="F26" s="1" t="s">
        <v>205</v>
      </c>
      <c r="G26" s="1" t="s">
        <v>206</v>
      </c>
      <c r="H26" s="1" t="s">
        <v>359</v>
      </c>
      <c r="I26" t="str">
        <f t="shared" si="0"/>
        <v>('SL1E-025','SL1E','C','HAN SONG-YI'),</v>
      </c>
      <c r="J26" t="s">
        <v>555</v>
      </c>
      <c r="K26" s="2" t="s">
        <v>581</v>
      </c>
      <c r="L26" s="3" t="str">
        <f t="shared" si="1"/>
        <v>SET001_025</v>
      </c>
      <c r="M26" t="s">
        <v>705</v>
      </c>
      <c r="N26" t="s">
        <v>706</v>
      </c>
      <c r="O26" t="s">
        <v>707</v>
      </c>
      <c r="P26" t="str">
        <f t="shared" si="2"/>
        <v>UPDATE CardPool SET cards_Display_Order = 'SET001_025' WHERE CardCode = 'SL1E-025';</v>
      </c>
    </row>
    <row r="27" spans="1:16" x14ac:dyDescent="0.25">
      <c r="A27" t="s">
        <v>232</v>
      </c>
      <c r="B27" t="s">
        <v>299</v>
      </c>
      <c r="C27" t="s">
        <v>138</v>
      </c>
      <c r="D27" t="s">
        <v>337</v>
      </c>
      <c r="E27" t="s">
        <v>204</v>
      </c>
      <c r="F27" s="1" t="s">
        <v>205</v>
      </c>
      <c r="G27" s="1" t="s">
        <v>206</v>
      </c>
      <c r="H27" s="1" t="s">
        <v>359</v>
      </c>
      <c r="I27" t="str">
        <f t="shared" si="0"/>
        <v>('SL1E-026','SL1E','C','EUNSEOK'),</v>
      </c>
      <c r="J27" t="s">
        <v>555</v>
      </c>
      <c r="K27" s="2" t="s">
        <v>582</v>
      </c>
      <c r="L27" s="3" t="str">
        <f t="shared" si="1"/>
        <v>SET001_026</v>
      </c>
      <c r="M27" t="s">
        <v>705</v>
      </c>
      <c r="N27" t="s">
        <v>706</v>
      </c>
      <c r="O27" t="s">
        <v>707</v>
      </c>
      <c r="P27" t="str">
        <f t="shared" si="2"/>
        <v>UPDATE CardPool SET cards_Display_Order = 'SET001_026' WHERE CardCode = 'SL1E-026';</v>
      </c>
    </row>
    <row r="28" spans="1:16" x14ac:dyDescent="0.25">
      <c r="A28" t="s">
        <v>233</v>
      </c>
      <c r="B28" t="s">
        <v>299</v>
      </c>
      <c r="C28" t="s">
        <v>138</v>
      </c>
      <c r="D28" t="s">
        <v>338</v>
      </c>
      <c r="E28" t="s">
        <v>204</v>
      </c>
      <c r="F28" s="1" t="s">
        <v>205</v>
      </c>
      <c r="G28" s="1" t="s">
        <v>206</v>
      </c>
      <c r="H28" s="1" t="s">
        <v>359</v>
      </c>
      <c r="I28" t="str">
        <f t="shared" si="0"/>
        <v>('SL1E-027','SL1E','C','MIN BYUNG-GU'),</v>
      </c>
      <c r="J28" t="s">
        <v>555</v>
      </c>
      <c r="K28" s="2" t="s">
        <v>583</v>
      </c>
      <c r="L28" s="3" t="str">
        <f t="shared" si="1"/>
        <v>SET001_027</v>
      </c>
      <c r="M28" t="s">
        <v>705</v>
      </c>
      <c r="N28" t="s">
        <v>706</v>
      </c>
      <c r="O28" t="s">
        <v>707</v>
      </c>
      <c r="P28" t="str">
        <f t="shared" si="2"/>
        <v>UPDATE CardPool SET cards_Display_Order = 'SET001_027' WHERE CardCode = 'SL1E-027';</v>
      </c>
    </row>
    <row r="29" spans="1:16" x14ac:dyDescent="0.25">
      <c r="A29" t="s">
        <v>234</v>
      </c>
      <c r="B29" t="s">
        <v>299</v>
      </c>
      <c r="C29" t="s">
        <v>138</v>
      </c>
      <c r="D29" t="s">
        <v>339</v>
      </c>
      <c r="E29" t="s">
        <v>204</v>
      </c>
      <c r="F29" s="1" t="s">
        <v>205</v>
      </c>
      <c r="G29" s="1" t="s">
        <v>206</v>
      </c>
      <c r="H29" s="1" t="s">
        <v>359</v>
      </c>
      <c r="I29" t="str">
        <f t="shared" si="0"/>
        <v>('SL1E-028','SL1E','C','GOBLIN'),</v>
      </c>
      <c r="J29" t="s">
        <v>555</v>
      </c>
      <c r="K29" s="2" t="s">
        <v>584</v>
      </c>
      <c r="L29" s="3" t="str">
        <f t="shared" si="1"/>
        <v>SET001_028</v>
      </c>
      <c r="M29" t="s">
        <v>705</v>
      </c>
      <c r="N29" t="s">
        <v>706</v>
      </c>
      <c r="O29" t="s">
        <v>707</v>
      </c>
      <c r="P29" t="str">
        <f t="shared" si="2"/>
        <v>UPDATE CardPool SET cards_Display_Order = 'SET001_028' WHERE CardCode = 'SL1E-028';</v>
      </c>
    </row>
    <row r="30" spans="1:16" x14ac:dyDescent="0.25">
      <c r="A30" t="s">
        <v>235</v>
      </c>
      <c r="B30" t="s">
        <v>299</v>
      </c>
      <c r="C30" t="s">
        <v>138</v>
      </c>
      <c r="D30" t="s">
        <v>340</v>
      </c>
      <c r="E30" t="s">
        <v>204</v>
      </c>
      <c r="F30" s="1" t="s">
        <v>205</v>
      </c>
      <c r="G30" s="1" t="s">
        <v>206</v>
      </c>
      <c r="H30" s="1" t="s">
        <v>359</v>
      </c>
      <c r="I30" t="str">
        <f t="shared" si="0"/>
        <v>('SL1E-029','SL1E','C','WEREWOLF'),</v>
      </c>
      <c r="J30" t="s">
        <v>555</v>
      </c>
      <c r="K30" s="2" t="s">
        <v>585</v>
      </c>
      <c r="L30" s="3" t="str">
        <f t="shared" si="1"/>
        <v>SET001_029</v>
      </c>
      <c r="M30" t="s">
        <v>705</v>
      </c>
      <c r="N30" t="s">
        <v>706</v>
      </c>
      <c r="O30" t="s">
        <v>707</v>
      </c>
      <c r="P30" t="str">
        <f t="shared" si="2"/>
        <v>UPDATE CardPool SET cards_Display_Order = 'SET001_029' WHERE CardCode = 'SL1E-029';</v>
      </c>
    </row>
    <row r="31" spans="1:16" x14ac:dyDescent="0.25">
      <c r="A31" t="s">
        <v>236</v>
      </c>
      <c r="B31" t="s">
        <v>299</v>
      </c>
      <c r="C31" t="s">
        <v>138</v>
      </c>
      <c r="D31" t="s">
        <v>341</v>
      </c>
      <c r="E31" t="s">
        <v>204</v>
      </c>
      <c r="F31" s="1" t="s">
        <v>205</v>
      </c>
      <c r="G31" s="1" t="s">
        <v>206</v>
      </c>
      <c r="H31" s="1" t="s">
        <v>359</v>
      </c>
      <c r="I31" t="str">
        <f t="shared" si="0"/>
        <v>('SL1E-030','SL1E','C','CARTENON STATUE'),</v>
      </c>
      <c r="J31" t="s">
        <v>555</v>
      </c>
      <c r="K31" s="2" t="s">
        <v>586</v>
      </c>
      <c r="L31" s="3" t="str">
        <f t="shared" si="1"/>
        <v>SET001_030</v>
      </c>
      <c r="M31" t="s">
        <v>705</v>
      </c>
      <c r="N31" t="s">
        <v>706</v>
      </c>
      <c r="O31" t="s">
        <v>707</v>
      </c>
      <c r="P31" t="str">
        <f t="shared" si="2"/>
        <v>UPDATE CardPool SET cards_Display_Order = 'SET001_030' WHERE CardCode = 'SL1E-030';</v>
      </c>
    </row>
    <row r="32" spans="1:16" x14ac:dyDescent="0.25">
      <c r="A32" t="s">
        <v>237</v>
      </c>
      <c r="B32" t="s">
        <v>299</v>
      </c>
      <c r="C32" t="s">
        <v>138</v>
      </c>
      <c r="D32" t="s">
        <v>342</v>
      </c>
      <c r="E32" t="s">
        <v>204</v>
      </c>
      <c r="F32" s="1" t="s">
        <v>205</v>
      </c>
      <c r="G32" s="1" t="s">
        <v>206</v>
      </c>
      <c r="H32" s="1" t="s">
        <v>359</v>
      </c>
      <c r="I32" t="str">
        <f t="shared" si="0"/>
        <v>('SL1E-031','SL1E','C','POISON-TOOTHED GIANT DESERT CENTIPEDE'),</v>
      </c>
      <c r="J32" t="s">
        <v>555</v>
      </c>
      <c r="K32" s="2" t="s">
        <v>587</v>
      </c>
      <c r="L32" s="3" t="str">
        <f t="shared" si="1"/>
        <v>SET001_031</v>
      </c>
      <c r="M32" t="s">
        <v>705</v>
      </c>
      <c r="N32" t="s">
        <v>706</v>
      </c>
      <c r="O32" t="s">
        <v>707</v>
      </c>
      <c r="P32" t="str">
        <f t="shared" si="2"/>
        <v>UPDATE CardPool SET cards_Display_Order = 'SET001_031' WHERE CardCode = 'SL1E-031';</v>
      </c>
    </row>
    <row r="33" spans="1:16" x14ac:dyDescent="0.25">
      <c r="A33" t="s">
        <v>238</v>
      </c>
      <c r="B33" t="s">
        <v>299</v>
      </c>
      <c r="C33" t="s">
        <v>138</v>
      </c>
      <c r="D33" t="s">
        <v>343</v>
      </c>
      <c r="E33" t="s">
        <v>204</v>
      </c>
      <c r="F33" s="1" t="s">
        <v>205</v>
      </c>
      <c r="G33" s="1" t="s">
        <v>206</v>
      </c>
      <c r="H33" s="1" t="s">
        <v>359</v>
      </c>
      <c r="I33" t="str">
        <f t="shared" si="0"/>
        <v>('SL1E-032','SL1E','C','STEEL-FENGED LYCAN'),</v>
      </c>
      <c r="J33" t="s">
        <v>555</v>
      </c>
      <c r="K33" s="2" t="s">
        <v>588</v>
      </c>
      <c r="L33" s="3" t="str">
        <f t="shared" si="1"/>
        <v>SET001_032</v>
      </c>
      <c r="M33" t="s">
        <v>705</v>
      </c>
      <c r="N33" t="s">
        <v>706</v>
      </c>
      <c r="O33" t="s">
        <v>707</v>
      </c>
      <c r="P33" t="str">
        <f t="shared" si="2"/>
        <v>UPDATE CardPool SET cards_Display_Order = 'SET001_032' WHERE CardCode = 'SL1E-032';</v>
      </c>
    </row>
    <row r="34" spans="1:16" x14ac:dyDescent="0.25">
      <c r="A34" t="s">
        <v>239</v>
      </c>
      <c r="B34" t="s">
        <v>299</v>
      </c>
      <c r="C34" t="s">
        <v>138</v>
      </c>
      <c r="D34" t="s">
        <v>344</v>
      </c>
      <c r="E34" t="s">
        <v>204</v>
      </c>
      <c r="F34" s="1" t="s">
        <v>205</v>
      </c>
      <c r="G34" s="1" t="s">
        <v>206</v>
      </c>
      <c r="H34" s="1" t="s">
        <v>359</v>
      </c>
      <c r="I34" t="str">
        <f t="shared" si="0"/>
        <v>('SL1E-033','SL1E','C','KING OF THE SWAMP BLUE VENOM-FANGED KASAKA'),</v>
      </c>
      <c r="J34" t="s">
        <v>555</v>
      </c>
      <c r="K34" s="2" t="s">
        <v>589</v>
      </c>
      <c r="L34" s="3" t="str">
        <f t="shared" si="1"/>
        <v>SET001_033</v>
      </c>
      <c r="M34" t="s">
        <v>705</v>
      </c>
      <c r="N34" t="s">
        <v>706</v>
      </c>
      <c r="O34" t="s">
        <v>707</v>
      </c>
      <c r="P34" t="str">
        <f t="shared" si="2"/>
        <v>UPDATE CardPool SET cards_Display_Order = 'SET001_033' WHERE CardCode = 'SL1E-033';</v>
      </c>
    </row>
    <row r="35" spans="1:16" x14ac:dyDescent="0.25">
      <c r="A35" t="s">
        <v>240</v>
      </c>
      <c r="B35" t="s">
        <v>299</v>
      </c>
      <c r="C35" t="s">
        <v>138</v>
      </c>
      <c r="D35" t="s">
        <v>345</v>
      </c>
      <c r="E35" t="s">
        <v>204</v>
      </c>
      <c r="F35" s="1" t="s">
        <v>205</v>
      </c>
      <c r="G35" s="1" t="s">
        <v>206</v>
      </c>
      <c r="H35" s="1" t="s">
        <v>359</v>
      </c>
      <c r="I35" t="str">
        <f t="shared" si="0"/>
        <v>('SL1E-034','SL1E','C','CLASS D GOLEM'),</v>
      </c>
      <c r="J35" t="s">
        <v>555</v>
      </c>
      <c r="K35" s="2" t="s">
        <v>590</v>
      </c>
      <c r="L35" s="3" t="str">
        <f t="shared" si="1"/>
        <v>SET001_034</v>
      </c>
      <c r="M35" t="s">
        <v>705</v>
      </c>
      <c r="N35" t="s">
        <v>706</v>
      </c>
      <c r="O35" t="s">
        <v>707</v>
      </c>
      <c r="P35" t="str">
        <f t="shared" si="2"/>
        <v>UPDATE CardPool SET cards_Display_Order = 'SET001_034' WHERE CardCode = 'SL1E-034';</v>
      </c>
    </row>
    <row r="36" spans="1:16" x14ac:dyDescent="0.25">
      <c r="A36" t="s">
        <v>241</v>
      </c>
      <c r="B36" t="s">
        <v>299</v>
      </c>
      <c r="C36" t="s">
        <v>138</v>
      </c>
      <c r="D36" t="s">
        <v>346</v>
      </c>
      <c r="E36" t="s">
        <v>204</v>
      </c>
      <c r="F36" s="1" t="s">
        <v>205</v>
      </c>
      <c r="G36" s="1" t="s">
        <v>206</v>
      </c>
      <c r="H36" s="1" t="s">
        <v>359</v>
      </c>
      <c r="I36" t="str">
        <f t="shared" si="0"/>
        <v>('SL1E-035','SL1E','C','SPIDER MONSTER'),</v>
      </c>
      <c r="J36" t="s">
        <v>555</v>
      </c>
      <c r="K36" s="2" t="s">
        <v>591</v>
      </c>
      <c r="L36" s="3" t="str">
        <f t="shared" si="1"/>
        <v>SET001_035</v>
      </c>
      <c r="M36" t="s">
        <v>705</v>
      </c>
      <c r="N36" t="s">
        <v>706</v>
      </c>
      <c r="O36" t="s">
        <v>707</v>
      </c>
      <c r="P36" t="str">
        <f t="shared" si="2"/>
        <v>UPDATE CardPool SET cards_Display_Order = 'SET001_035' WHERE CardCode = 'SL1E-035';</v>
      </c>
    </row>
    <row r="37" spans="1:16" x14ac:dyDescent="0.25">
      <c r="A37" t="s">
        <v>242</v>
      </c>
      <c r="B37" t="s">
        <v>299</v>
      </c>
      <c r="C37" t="s">
        <v>138</v>
      </c>
      <c r="D37" t="s">
        <v>347</v>
      </c>
      <c r="E37" t="s">
        <v>204</v>
      </c>
      <c r="F37" s="1" t="s">
        <v>205</v>
      </c>
      <c r="G37" s="1" t="s">
        <v>206</v>
      </c>
      <c r="H37" s="1" t="s">
        <v>359</v>
      </c>
      <c r="I37" t="str">
        <f t="shared" si="0"/>
        <v>('SL1E-036','SL1E','C','SPIDER MONSTER BOSS'),</v>
      </c>
      <c r="J37" t="s">
        <v>555</v>
      </c>
      <c r="K37" s="2" t="s">
        <v>592</v>
      </c>
      <c r="L37" s="3" t="str">
        <f t="shared" si="1"/>
        <v>SET001_036</v>
      </c>
      <c r="M37" t="s">
        <v>705</v>
      </c>
      <c r="N37" t="s">
        <v>706</v>
      </c>
      <c r="O37" t="s">
        <v>707</v>
      </c>
      <c r="P37" t="str">
        <f t="shared" si="2"/>
        <v>UPDATE CardPool SET cards_Display_Order = 'SET001_036' WHERE CardCode = 'SL1E-036';</v>
      </c>
    </row>
    <row r="38" spans="1:16" x14ac:dyDescent="0.25">
      <c r="A38" t="s">
        <v>243</v>
      </c>
      <c r="B38" t="s">
        <v>299</v>
      </c>
      <c r="C38" t="s">
        <v>138</v>
      </c>
      <c r="D38" t="s">
        <v>348</v>
      </c>
      <c r="E38" t="s">
        <v>204</v>
      </c>
      <c r="F38" s="1" t="s">
        <v>205</v>
      </c>
      <c r="G38" s="1" t="s">
        <v>206</v>
      </c>
      <c r="H38" s="1" t="s">
        <v>359</v>
      </c>
      <c r="I38" t="str">
        <f t="shared" si="0"/>
        <v>('SL1E-037','SL1E','C','HELL'S GATEKEEPER CERBERUS'),</v>
      </c>
      <c r="J38" t="s">
        <v>555</v>
      </c>
      <c r="K38" s="2" t="s">
        <v>593</v>
      </c>
      <c r="L38" s="3" t="str">
        <f t="shared" si="1"/>
        <v>SET001_037</v>
      </c>
      <c r="M38" t="s">
        <v>705</v>
      </c>
      <c r="N38" t="s">
        <v>706</v>
      </c>
      <c r="O38" t="s">
        <v>707</v>
      </c>
      <c r="P38" t="str">
        <f t="shared" si="2"/>
        <v>UPDATE CardPool SET cards_Display_Order = 'SET001_037' WHERE CardCode = 'SL1E-037';</v>
      </c>
    </row>
    <row r="39" spans="1:16" x14ac:dyDescent="0.25">
      <c r="A39" t="s">
        <v>244</v>
      </c>
      <c r="B39" t="s">
        <v>299</v>
      </c>
      <c r="C39" t="s">
        <v>138</v>
      </c>
      <c r="D39" t="s">
        <v>349</v>
      </c>
      <c r="E39" t="s">
        <v>204</v>
      </c>
      <c r="F39" s="1" t="s">
        <v>205</v>
      </c>
      <c r="G39" s="1" t="s">
        <v>206</v>
      </c>
      <c r="H39" s="1" t="s">
        <v>359</v>
      </c>
      <c r="I39" t="str">
        <f t="shared" si="0"/>
        <v>('SL1E-038','SL1E','C','HOB GOBLIN'),</v>
      </c>
      <c r="J39" t="s">
        <v>555</v>
      </c>
      <c r="K39" s="2" t="s">
        <v>594</v>
      </c>
      <c r="L39" s="3" t="str">
        <f t="shared" si="1"/>
        <v>SET001_038</v>
      </c>
      <c r="M39" t="s">
        <v>705</v>
      </c>
      <c r="N39" t="s">
        <v>706</v>
      </c>
      <c r="O39" t="s">
        <v>707</v>
      </c>
      <c r="P39" t="str">
        <f t="shared" si="2"/>
        <v>UPDATE CardPool SET cards_Display_Order = 'SET001_038' WHERE CardCode = 'SL1E-038';</v>
      </c>
    </row>
    <row r="40" spans="1:16" x14ac:dyDescent="0.25">
      <c r="A40" t="s">
        <v>245</v>
      </c>
      <c r="B40" t="s">
        <v>299</v>
      </c>
      <c r="C40" t="s">
        <v>138</v>
      </c>
      <c r="D40" t="s">
        <v>350</v>
      </c>
      <c r="E40" t="s">
        <v>204</v>
      </c>
      <c r="F40" s="1" t="s">
        <v>205</v>
      </c>
      <c r="G40" s="1" t="s">
        <v>206</v>
      </c>
      <c r="H40" s="1" t="s">
        <v>359</v>
      </c>
      <c r="I40" t="str">
        <f t="shared" si="0"/>
        <v>('SL1E-039','SL1E','C','KNIGHT.MAGE.ARCHER.ASSASSIN'),</v>
      </c>
      <c r="J40" t="s">
        <v>555</v>
      </c>
      <c r="K40" s="2" t="s">
        <v>595</v>
      </c>
      <c r="L40" s="3" t="str">
        <f t="shared" si="1"/>
        <v>SET001_039</v>
      </c>
      <c r="M40" t="s">
        <v>705</v>
      </c>
      <c r="N40" t="s">
        <v>706</v>
      </c>
      <c r="O40" t="s">
        <v>707</v>
      </c>
      <c r="P40" t="str">
        <f t="shared" si="2"/>
        <v>UPDATE CardPool SET cards_Display_Order = 'SET001_039' WHERE CardCode = 'SL1E-039';</v>
      </c>
    </row>
    <row r="41" spans="1:16" x14ac:dyDescent="0.25">
      <c r="A41" t="s">
        <v>246</v>
      </c>
      <c r="B41" t="s">
        <v>299</v>
      </c>
      <c r="C41" t="s">
        <v>138</v>
      </c>
      <c r="D41" t="s">
        <v>351</v>
      </c>
      <c r="E41" t="s">
        <v>204</v>
      </c>
      <c r="F41" s="1" t="s">
        <v>205</v>
      </c>
      <c r="G41" s="1" t="s">
        <v>206</v>
      </c>
      <c r="H41" s="1" t="s">
        <v>359</v>
      </c>
      <c r="I41" t="str">
        <f t="shared" si="0"/>
        <v>('SL1E-040','SL1E','C','KNIGHT COMMANDER IGRIS THE RED'),</v>
      </c>
      <c r="J41" t="s">
        <v>555</v>
      </c>
      <c r="K41" s="2" t="s">
        <v>596</v>
      </c>
      <c r="L41" s="3" t="str">
        <f t="shared" si="1"/>
        <v>SET001_040</v>
      </c>
      <c r="M41" t="s">
        <v>705</v>
      </c>
      <c r="N41" t="s">
        <v>706</v>
      </c>
      <c r="O41" t="s">
        <v>707</v>
      </c>
      <c r="P41" t="str">
        <f t="shared" si="2"/>
        <v>UPDATE CardPool SET cards_Display_Order = 'SET001_040' WHERE CardCode = 'SL1E-040';</v>
      </c>
    </row>
    <row r="42" spans="1:16" x14ac:dyDescent="0.25">
      <c r="A42" t="s">
        <v>247</v>
      </c>
      <c r="B42" t="s">
        <v>299</v>
      </c>
      <c r="C42" t="s">
        <v>138</v>
      </c>
      <c r="D42" t="s">
        <v>184</v>
      </c>
      <c r="E42" t="s">
        <v>204</v>
      </c>
      <c r="F42" s="1" t="s">
        <v>205</v>
      </c>
      <c r="G42" s="1" t="s">
        <v>206</v>
      </c>
      <c r="H42" s="1" t="s">
        <v>359</v>
      </c>
      <c r="I42" t="str">
        <f t="shared" si="0"/>
        <v>('SL1E-041','SL1E','C','SHADOW SOLDIER'),</v>
      </c>
      <c r="J42" t="s">
        <v>555</v>
      </c>
      <c r="K42" s="2" t="s">
        <v>597</v>
      </c>
      <c r="L42" s="3" t="str">
        <f t="shared" si="1"/>
        <v>SET001_041</v>
      </c>
      <c r="M42" t="s">
        <v>705</v>
      </c>
      <c r="N42" t="s">
        <v>706</v>
      </c>
      <c r="O42" t="s">
        <v>707</v>
      </c>
      <c r="P42" t="str">
        <f t="shared" si="2"/>
        <v>UPDATE CardPool SET cards_Display_Order = 'SET001_041' WHERE CardCode = 'SL1E-041';</v>
      </c>
    </row>
    <row r="43" spans="1:16" x14ac:dyDescent="0.25">
      <c r="A43" t="s">
        <v>248</v>
      </c>
      <c r="B43" t="s">
        <v>299</v>
      </c>
      <c r="C43" t="s">
        <v>138</v>
      </c>
      <c r="D43" t="s">
        <v>352</v>
      </c>
      <c r="E43" t="s">
        <v>204</v>
      </c>
      <c r="F43" s="1" t="s">
        <v>205</v>
      </c>
      <c r="G43" s="1" t="s">
        <v>206</v>
      </c>
      <c r="H43" s="1" t="s">
        <v>359</v>
      </c>
      <c r="I43" t="str">
        <f t="shared" si="0"/>
        <v>('SL1E-042','SL1E','C','KNIGHT COMMANDER SHADOW IGRIS THE RED'),</v>
      </c>
      <c r="J43" t="s">
        <v>555</v>
      </c>
      <c r="K43" s="2" t="s">
        <v>598</v>
      </c>
      <c r="L43" s="3" t="str">
        <f t="shared" si="1"/>
        <v>SET001_042</v>
      </c>
      <c r="M43" t="s">
        <v>705</v>
      </c>
      <c r="N43" t="s">
        <v>706</v>
      </c>
      <c r="O43" t="s">
        <v>707</v>
      </c>
      <c r="P43" t="str">
        <f t="shared" si="2"/>
        <v>UPDATE CardPool SET cards_Display_Order = 'SET001_042' WHERE CardCode = 'SL1E-042';</v>
      </c>
    </row>
    <row r="44" spans="1:16" x14ac:dyDescent="0.25">
      <c r="A44" t="s">
        <v>249</v>
      </c>
      <c r="B44" t="s">
        <v>299</v>
      </c>
      <c r="C44" t="s">
        <v>139</v>
      </c>
      <c r="D44" t="s">
        <v>155</v>
      </c>
      <c r="E44" t="s">
        <v>204</v>
      </c>
      <c r="F44" s="1" t="s">
        <v>205</v>
      </c>
      <c r="G44" s="1" t="s">
        <v>206</v>
      </c>
      <c r="H44" s="1" t="s">
        <v>359</v>
      </c>
      <c r="I44" t="str">
        <f t="shared" si="0"/>
        <v>('SL1E-043','SL1E','R','SUNG JINWOO'),</v>
      </c>
      <c r="J44" t="s">
        <v>555</v>
      </c>
      <c r="K44" s="2" t="s">
        <v>599</v>
      </c>
      <c r="L44" s="3" t="str">
        <f t="shared" si="1"/>
        <v>SET001_043</v>
      </c>
      <c r="M44" t="s">
        <v>705</v>
      </c>
      <c r="N44" t="s">
        <v>706</v>
      </c>
      <c r="O44" t="s">
        <v>707</v>
      </c>
      <c r="P44" t="str">
        <f t="shared" si="2"/>
        <v>UPDATE CardPool SET cards_Display_Order = 'SET001_043' WHERE CardCode = 'SL1E-043';</v>
      </c>
    </row>
    <row r="45" spans="1:16" x14ac:dyDescent="0.25">
      <c r="A45" t="s">
        <v>250</v>
      </c>
      <c r="B45" t="s">
        <v>299</v>
      </c>
      <c r="C45" t="s">
        <v>139</v>
      </c>
      <c r="D45" t="s">
        <v>155</v>
      </c>
      <c r="E45" t="s">
        <v>204</v>
      </c>
      <c r="F45" s="1" t="s">
        <v>205</v>
      </c>
      <c r="G45" s="1" t="s">
        <v>206</v>
      </c>
      <c r="H45" s="1" t="s">
        <v>359</v>
      </c>
      <c r="I45" t="str">
        <f t="shared" si="0"/>
        <v>('SL1E-044','SL1E','R','SUNG JINWOO'),</v>
      </c>
      <c r="J45" t="s">
        <v>555</v>
      </c>
      <c r="K45" s="2" t="s">
        <v>600</v>
      </c>
      <c r="L45" s="3" t="str">
        <f t="shared" si="1"/>
        <v>SET001_044</v>
      </c>
      <c r="M45" t="s">
        <v>705</v>
      </c>
      <c r="N45" t="s">
        <v>706</v>
      </c>
      <c r="O45" t="s">
        <v>707</v>
      </c>
      <c r="P45" t="str">
        <f t="shared" si="2"/>
        <v>UPDATE CardPool SET cards_Display_Order = 'SET001_044' WHERE CardCode = 'SL1E-044';</v>
      </c>
    </row>
    <row r="46" spans="1:16" x14ac:dyDescent="0.25">
      <c r="A46" t="s">
        <v>251</v>
      </c>
      <c r="B46" t="s">
        <v>299</v>
      </c>
      <c r="C46" t="s">
        <v>139</v>
      </c>
      <c r="D46" t="s">
        <v>157</v>
      </c>
      <c r="E46" t="s">
        <v>204</v>
      </c>
      <c r="F46" s="1" t="s">
        <v>205</v>
      </c>
      <c r="G46" s="1" t="s">
        <v>206</v>
      </c>
      <c r="H46" s="1" t="s">
        <v>359</v>
      </c>
      <c r="I46" t="str">
        <f t="shared" si="0"/>
        <v>('SL1E-045','SL1E','R','BAEK YOONHO'),</v>
      </c>
      <c r="J46" t="s">
        <v>555</v>
      </c>
      <c r="K46" s="2" t="s">
        <v>601</v>
      </c>
      <c r="L46" s="3" t="str">
        <f t="shared" si="1"/>
        <v>SET001_045</v>
      </c>
      <c r="M46" t="s">
        <v>705</v>
      </c>
      <c r="N46" t="s">
        <v>706</v>
      </c>
      <c r="O46" t="s">
        <v>707</v>
      </c>
      <c r="P46" t="str">
        <f t="shared" si="2"/>
        <v>UPDATE CardPool SET cards_Display_Order = 'SET001_045' WHERE CardCode = 'SL1E-045';</v>
      </c>
    </row>
    <row r="47" spans="1:16" x14ac:dyDescent="0.25">
      <c r="A47" t="s">
        <v>252</v>
      </c>
      <c r="B47" t="s">
        <v>299</v>
      </c>
      <c r="C47" t="s">
        <v>139</v>
      </c>
      <c r="D47" t="s">
        <v>159</v>
      </c>
      <c r="E47" t="s">
        <v>204</v>
      </c>
      <c r="F47" s="1" t="s">
        <v>205</v>
      </c>
      <c r="G47" s="1" t="s">
        <v>206</v>
      </c>
      <c r="H47" s="1" t="s">
        <v>359</v>
      </c>
      <c r="I47" t="str">
        <f t="shared" si="0"/>
        <v>('SL1E-046','SL1E','R','CHA HAE-IN'),</v>
      </c>
      <c r="J47" t="s">
        <v>555</v>
      </c>
      <c r="K47" s="2" t="s">
        <v>602</v>
      </c>
      <c r="L47" s="3" t="str">
        <f t="shared" si="1"/>
        <v>SET001_046</v>
      </c>
      <c r="M47" t="s">
        <v>705</v>
      </c>
      <c r="N47" t="s">
        <v>706</v>
      </c>
      <c r="O47" t="s">
        <v>707</v>
      </c>
      <c r="P47" t="str">
        <f t="shared" si="2"/>
        <v>UPDATE CardPool SET cards_Display_Order = 'SET001_046' WHERE CardCode = 'SL1E-046';</v>
      </c>
    </row>
    <row r="48" spans="1:16" x14ac:dyDescent="0.25">
      <c r="A48" t="s">
        <v>253</v>
      </c>
      <c r="B48" t="s">
        <v>299</v>
      </c>
      <c r="C48" t="s">
        <v>139</v>
      </c>
      <c r="D48" t="s">
        <v>161</v>
      </c>
      <c r="E48" t="s">
        <v>204</v>
      </c>
      <c r="F48" s="1" t="s">
        <v>205</v>
      </c>
      <c r="G48" s="1" t="s">
        <v>206</v>
      </c>
      <c r="H48" s="1" t="s">
        <v>359</v>
      </c>
      <c r="I48" t="str">
        <f t="shared" si="0"/>
        <v>('SL1E-047','SL1E','R','GO GUNHEE'),</v>
      </c>
      <c r="J48" t="s">
        <v>555</v>
      </c>
      <c r="K48" s="2" t="s">
        <v>603</v>
      </c>
      <c r="L48" s="3" t="str">
        <f t="shared" si="1"/>
        <v>SET001_047</v>
      </c>
      <c r="M48" t="s">
        <v>705</v>
      </c>
      <c r="N48" t="s">
        <v>706</v>
      </c>
      <c r="O48" t="s">
        <v>707</v>
      </c>
      <c r="P48" t="str">
        <f t="shared" si="2"/>
        <v>UPDATE CardPool SET cards_Display_Order = 'SET001_047' WHERE CardCode = 'SL1E-047';</v>
      </c>
    </row>
    <row r="49" spans="1:16" x14ac:dyDescent="0.25">
      <c r="A49" t="s">
        <v>254</v>
      </c>
      <c r="B49" t="s">
        <v>299</v>
      </c>
      <c r="C49" t="s">
        <v>139</v>
      </c>
      <c r="D49" t="s">
        <v>160</v>
      </c>
      <c r="E49" t="s">
        <v>204</v>
      </c>
      <c r="F49" s="1" t="s">
        <v>205</v>
      </c>
      <c r="G49" s="1" t="s">
        <v>206</v>
      </c>
      <c r="H49" s="1" t="s">
        <v>359</v>
      </c>
      <c r="I49" t="str">
        <f t="shared" si="0"/>
        <v>('SL1E-048','SL1E','R','WOO JINCHUL'),</v>
      </c>
      <c r="J49" t="s">
        <v>555</v>
      </c>
      <c r="K49" s="2" t="s">
        <v>604</v>
      </c>
      <c r="L49" s="3" t="str">
        <f t="shared" si="1"/>
        <v>SET001_048</v>
      </c>
      <c r="M49" t="s">
        <v>705</v>
      </c>
      <c r="N49" t="s">
        <v>706</v>
      </c>
      <c r="O49" t="s">
        <v>707</v>
      </c>
      <c r="P49" t="str">
        <f t="shared" si="2"/>
        <v>UPDATE CardPool SET cards_Display_Order = 'SET001_048' WHERE CardCode = 'SL1E-048';</v>
      </c>
    </row>
    <row r="50" spans="1:16" x14ac:dyDescent="0.25">
      <c r="A50" t="s">
        <v>255</v>
      </c>
      <c r="B50" t="s">
        <v>299</v>
      </c>
      <c r="C50" t="s">
        <v>139</v>
      </c>
      <c r="D50" t="s">
        <v>158</v>
      </c>
      <c r="E50" t="s">
        <v>204</v>
      </c>
      <c r="F50" s="1" t="s">
        <v>205</v>
      </c>
      <c r="G50" s="1" t="s">
        <v>206</v>
      </c>
      <c r="H50" s="1" t="s">
        <v>359</v>
      </c>
      <c r="I50" t="str">
        <f t="shared" si="0"/>
        <v>('SL1E-049','SL1E','R','CHOI JONG-IN'),</v>
      </c>
      <c r="J50" t="s">
        <v>555</v>
      </c>
      <c r="K50" s="2" t="s">
        <v>605</v>
      </c>
      <c r="L50" s="3" t="str">
        <f t="shared" si="1"/>
        <v>SET001_049</v>
      </c>
      <c r="M50" t="s">
        <v>705</v>
      </c>
      <c r="N50" t="s">
        <v>706</v>
      </c>
      <c r="O50" t="s">
        <v>707</v>
      </c>
      <c r="P50" t="str">
        <f t="shared" si="2"/>
        <v>UPDATE CardPool SET cards_Display_Order = 'SET001_049' WHERE CardCode = 'SL1E-049';</v>
      </c>
    </row>
    <row r="51" spans="1:16" x14ac:dyDescent="0.25">
      <c r="A51" t="s">
        <v>256</v>
      </c>
      <c r="B51" t="s">
        <v>299</v>
      </c>
      <c r="C51" t="s">
        <v>139</v>
      </c>
      <c r="D51" t="s">
        <v>156</v>
      </c>
      <c r="E51" t="s">
        <v>204</v>
      </c>
      <c r="F51" s="1" t="s">
        <v>205</v>
      </c>
      <c r="G51" s="1" t="s">
        <v>206</v>
      </c>
      <c r="H51" s="1" t="s">
        <v>359</v>
      </c>
      <c r="I51" t="str">
        <f t="shared" si="0"/>
        <v>('SL1E-050','SL1E','R','YOO JINHO'),</v>
      </c>
      <c r="J51" t="s">
        <v>555</v>
      </c>
      <c r="K51" s="2" t="s">
        <v>606</v>
      </c>
      <c r="L51" s="3" t="str">
        <f t="shared" si="1"/>
        <v>SET001_050</v>
      </c>
      <c r="M51" t="s">
        <v>705</v>
      </c>
      <c r="N51" t="s">
        <v>706</v>
      </c>
      <c r="O51" t="s">
        <v>707</v>
      </c>
      <c r="P51" t="str">
        <f t="shared" si="2"/>
        <v>UPDATE CardPool SET cards_Display_Order = 'SET001_050' WHERE CardCode = 'SL1E-050';</v>
      </c>
    </row>
    <row r="52" spans="1:16" x14ac:dyDescent="0.25">
      <c r="A52" t="s">
        <v>257</v>
      </c>
      <c r="B52" t="s">
        <v>299</v>
      </c>
      <c r="C52" t="s">
        <v>139</v>
      </c>
      <c r="D52" t="s">
        <v>328</v>
      </c>
      <c r="E52" t="s">
        <v>204</v>
      </c>
      <c r="F52" s="1" t="s">
        <v>205</v>
      </c>
      <c r="G52" s="1" t="s">
        <v>206</v>
      </c>
      <c r="H52" s="1" t="s">
        <v>359</v>
      </c>
      <c r="I52" t="str">
        <f t="shared" si="0"/>
        <v>('SL1E-051','SL1E','R','SONG CHIYUL'),</v>
      </c>
      <c r="J52" t="s">
        <v>555</v>
      </c>
      <c r="K52" s="2" t="s">
        <v>607</v>
      </c>
      <c r="L52" s="3" t="str">
        <f t="shared" si="1"/>
        <v>SET001_051</v>
      </c>
      <c r="M52" t="s">
        <v>705</v>
      </c>
      <c r="N52" t="s">
        <v>706</v>
      </c>
      <c r="O52" t="s">
        <v>707</v>
      </c>
      <c r="P52" t="str">
        <f t="shared" si="2"/>
        <v>UPDATE CardPool SET cards_Display_Order = 'SET001_051' WHERE CardCode = 'SL1E-051';</v>
      </c>
    </row>
    <row r="53" spans="1:16" x14ac:dyDescent="0.25">
      <c r="A53" t="s">
        <v>258</v>
      </c>
      <c r="B53" t="s">
        <v>299</v>
      </c>
      <c r="C53" t="s">
        <v>139</v>
      </c>
      <c r="D53" t="s">
        <v>162</v>
      </c>
      <c r="E53" t="s">
        <v>204</v>
      </c>
      <c r="F53" s="1" t="s">
        <v>205</v>
      </c>
      <c r="G53" s="1" t="s">
        <v>206</v>
      </c>
      <c r="H53" s="1" t="s">
        <v>359</v>
      </c>
      <c r="I53" t="str">
        <f t="shared" si="0"/>
        <v>('SL1E-052','SL1E','R','SUNG JINAH'),</v>
      </c>
      <c r="J53" t="s">
        <v>555</v>
      </c>
      <c r="K53" s="2" t="s">
        <v>608</v>
      </c>
      <c r="L53" s="3" t="str">
        <f t="shared" si="1"/>
        <v>SET001_052</v>
      </c>
      <c r="M53" t="s">
        <v>705</v>
      </c>
      <c r="N53" t="s">
        <v>706</v>
      </c>
      <c r="O53" t="s">
        <v>707</v>
      </c>
      <c r="P53" t="str">
        <f t="shared" si="2"/>
        <v>UPDATE CardPool SET cards_Display_Order = 'SET001_052' WHERE CardCode = 'SL1E-052';</v>
      </c>
    </row>
    <row r="54" spans="1:16" x14ac:dyDescent="0.25">
      <c r="A54" t="s">
        <v>259</v>
      </c>
      <c r="B54" t="s">
        <v>299</v>
      </c>
      <c r="C54" t="s">
        <v>139</v>
      </c>
      <c r="D54" t="s">
        <v>329</v>
      </c>
      <c r="E54" t="s">
        <v>204</v>
      </c>
      <c r="F54" s="1" t="s">
        <v>205</v>
      </c>
      <c r="G54" s="1" t="s">
        <v>206</v>
      </c>
      <c r="H54" s="1" t="s">
        <v>359</v>
      </c>
      <c r="I54" t="str">
        <f t="shared" si="0"/>
        <v>('SL1E-053','SL1E','R','KANG TAESHIK'),</v>
      </c>
      <c r="J54" t="s">
        <v>555</v>
      </c>
      <c r="K54" s="2" t="s">
        <v>609</v>
      </c>
      <c r="L54" s="3" t="str">
        <f t="shared" si="1"/>
        <v>SET001_053</v>
      </c>
      <c r="M54" t="s">
        <v>705</v>
      </c>
      <c r="N54" t="s">
        <v>706</v>
      </c>
      <c r="O54" t="s">
        <v>707</v>
      </c>
      <c r="P54" t="str">
        <f t="shared" si="2"/>
        <v>UPDATE CardPool SET cards_Display_Order = 'SET001_053' WHERE CardCode = 'SL1E-053';</v>
      </c>
    </row>
    <row r="55" spans="1:16" x14ac:dyDescent="0.25">
      <c r="A55" t="s">
        <v>260</v>
      </c>
      <c r="B55" t="s">
        <v>299</v>
      </c>
      <c r="C55" t="s">
        <v>139</v>
      </c>
      <c r="D55" t="s">
        <v>179</v>
      </c>
      <c r="E55" t="s">
        <v>204</v>
      </c>
      <c r="F55" s="1" t="s">
        <v>205</v>
      </c>
      <c r="G55" s="1" t="s">
        <v>206</v>
      </c>
      <c r="H55" s="1" t="s">
        <v>359</v>
      </c>
      <c r="I55" t="str">
        <f t="shared" si="0"/>
        <v>('SL1E-054','SL1E','R','PARK KYUNG-HYE'),</v>
      </c>
      <c r="J55" t="s">
        <v>555</v>
      </c>
      <c r="K55" s="2" t="s">
        <v>610</v>
      </c>
      <c r="L55" s="3" t="str">
        <f t="shared" si="1"/>
        <v>SET001_054</v>
      </c>
      <c r="M55" t="s">
        <v>705</v>
      </c>
      <c r="N55" t="s">
        <v>706</v>
      </c>
      <c r="O55" t="s">
        <v>707</v>
      </c>
      <c r="P55" t="str">
        <f t="shared" si="2"/>
        <v>UPDATE CardPool SET cards_Display_Order = 'SET001_054' WHERE CardCode = 'SL1E-054';</v>
      </c>
    </row>
    <row r="56" spans="1:16" x14ac:dyDescent="0.25">
      <c r="A56" t="s">
        <v>261</v>
      </c>
      <c r="B56" t="s">
        <v>299</v>
      </c>
      <c r="C56" t="s">
        <v>139</v>
      </c>
      <c r="D56" t="s">
        <v>330</v>
      </c>
      <c r="E56" t="s">
        <v>204</v>
      </c>
      <c r="F56" s="1" t="s">
        <v>205</v>
      </c>
      <c r="G56" s="1" t="s">
        <v>206</v>
      </c>
      <c r="H56" s="1" t="s">
        <v>359</v>
      </c>
      <c r="I56" t="str">
        <f t="shared" si="0"/>
        <v>('SL1E-055','SL1E','R','LEE JOOHEE'),</v>
      </c>
      <c r="J56" t="s">
        <v>555</v>
      </c>
      <c r="K56" s="2" t="s">
        <v>611</v>
      </c>
      <c r="L56" s="3" t="str">
        <f t="shared" si="1"/>
        <v>SET001_055</v>
      </c>
      <c r="M56" t="s">
        <v>705</v>
      </c>
      <c r="N56" t="s">
        <v>706</v>
      </c>
      <c r="O56" t="s">
        <v>707</v>
      </c>
      <c r="P56" t="str">
        <f t="shared" si="2"/>
        <v>UPDATE CardPool SET cards_Display_Order = 'SET001_055' WHERE CardCode = 'SL1E-055';</v>
      </c>
    </row>
    <row r="57" spans="1:16" x14ac:dyDescent="0.25">
      <c r="A57" t="s">
        <v>262</v>
      </c>
      <c r="B57" t="s">
        <v>299</v>
      </c>
      <c r="C57" t="s">
        <v>139</v>
      </c>
      <c r="D57" t="s">
        <v>331</v>
      </c>
      <c r="E57" t="s">
        <v>204</v>
      </c>
      <c r="F57" s="1" t="s">
        <v>205</v>
      </c>
      <c r="G57" s="1" t="s">
        <v>206</v>
      </c>
      <c r="H57" s="1" t="s">
        <v>359</v>
      </c>
      <c r="I57" t="str">
        <f t="shared" si="0"/>
        <v>('SL1E-056','SL1E','R','KYUHWAN'),</v>
      </c>
      <c r="J57" t="s">
        <v>555</v>
      </c>
      <c r="K57" s="2" t="s">
        <v>612</v>
      </c>
      <c r="L57" s="3" t="str">
        <f t="shared" si="1"/>
        <v>SET001_056</v>
      </c>
      <c r="M57" t="s">
        <v>705</v>
      </c>
      <c r="N57" t="s">
        <v>706</v>
      </c>
      <c r="O57" t="s">
        <v>707</v>
      </c>
      <c r="P57" t="str">
        <f t="shared" si="2"/>
        <v>UPDATE CardPool SET cards_Display_Order = 'SET001_056' WHERE CardCode = 'SL1E-056';</v>
      </c>
    </row>
    <row r="58" spans="1:16" x14ac:dyDescent="0.25">
      <c r="A58" t="s">
        <v>263</v>
      </c>
      <c r="B58" t="s">
        <v>299</v>
      </c>
      <c r="C58" t="s">
        <v>139</v>
      </c>
      <c r="D58" t="s">
        <v>332</v>
      </c>
      <c r="E58" t="s">
        <v>204</v>
      </c>
      <c r="F58" s="1" t="s">
        <v>205</v>
      </c>
      <c r="G58" s="1" t="s">
        <v>206</v>
      </c>
      <c r="H58" s="1" t="s">
        <v>359</v>
      </c>
      <c r="I58" t="str">
        <f t="shared" si="0"/>
        <v>('SL1E-057','SL1E','R','JINSUK'),</v>
      </c>
      <c r="J58" t="s">
        <v>555</v>
      </c>
      <c r="K58" s="2" t="s">
        <v>613</v>
      </c>
      <c r="L58" s="3" t="str">
        <f t="shared" si="1"/>
        <v>SET001_057</v>
      </c>
      <c r="M58" t="s">
        <v>705</v>
      </c>
      <c r="N58" t="s">
        <v>706</v>
      </c>
      <c r="O58" t="s">
        <v>707</v>
      </c>
      <c r="P58" t="str">
        <f t="shared" si="2"/>
        <v>UPDATE CardPool SET cards_Display_Order = 'SET001_057' WHERE CardCode = 'SL1E-057';</v>
      </c>
    </row>
    <row r="59" spans="1:16" x14ac:dyDescent="0.25">
      <c r="A59" t="s">
        <v>264</v>
      </c>
      <c r="B59" t="s">
        <v>299</v>
      </c>
      <c r="C59" t="s">
        <v>139</v>
      </c>
      <c r="D59" t="s">
        <v>333</v>
      </c>
      <c r="E59" t="s">
        <v>204</v>
      </c>
      <c r="F59" s="1" t="s">
        <v>205</v>
      </c>
      <c r="G59" s="1" t="s">
        <v>206</v>
      </c>
      <c r="H59" s="1" t="s">
        <v>359</v>
      </c>
      <c r="I59" t="str">
        <f t="shared" si="0"/>
        <v>('SL1E-058','SL1E','R','HWANG DONGSUK'),</v>
      </c>
      <c r="J59" t="s">
        <v>555</v>
      </c>
      <c r="K59" s="2" t="s">
        <v>614</v>
      </c>
      <c r="L59" s="3" t="str">
        <f t="shared" si="1"/>
        <v>SET001_058</v>
      </c>
      <c r="M59" t="s">
        <v>705</v>
      </c>
      <c r="N59" t="s">
        <v>706</v>
      </c>
      <c r="O59" t="s">
        <v>707</v>
      </c>
      <c r="P59" t="str">
        <f t="shared" si="2"/>
        <v>UPDATE CardPool SET cards_Display_Order = 'SET001_058' WHERE CardCode = 'SL1E-058';</v>
      </c>
    </row>
    <row r="60" spans="1:16" x14ac:dyDescent="0.25">
      <c r="A60" t="s">
        <v>265</v>
      </c>
      <c r="B60" t="s">
        <v>299</v>
      </c>
      <c r="C60" t="s">
        <v>139</v>
      </c>
      <c r="D60" t="s">
        <v>176</v>
      </c>
      <c r="E60" t="s">
        <v>204</v>
      </c>
      <c r="F60" s="1" t="s">
        <v>205</v>
      </c>
      <c r="G60" s="1" t="s">
        <v>206</v>
      </c>
      <c r="H60" s="1" t="s">
        <v>359</v>
      </c>
      <c r="I60" t="str">
        <f t="shared" si="0"/>
        <v>('SL1E-059','SL1E','R','PARK HEEJIN'),</v>
      </c>
      <c r="J60" t="s">
        <v>555</v>
      </c>
      <c r="K60" s="2" t="s">
        <v>615</v>
      </c>
      <c r="L60" s="3" t="str">
        <f t="shared" si="1"/>
        <v>SET001_059</v>
      </c>
      <c r="M60" t="s">
        <v>705</v>
      </c>
      <c r="N60" t="s">
        <v>706</v>
      </c>
      <c r="O60" t="s">
        <v>707</v>
      </c>
      <c r="P60" t="str">
        <f t="shared" si="2"/>
        <v>UPDATE CardPool SET cards_Display_Order = 'SET001_059' WHERE CardCode = 'SL1E-059';</v>
      </c>
    </row>
    <row r="61" spans="1:16" x14ac:dyDescent="0.25">
      <c r="A61" t="s">
        <v>266</v>
      </c>
      <c r="B61" t="s">
        <v>299</v>
      </c>
      <c r="C61" t="s">
        <v>139</v>
      </c>
      <c r="D61" t="s">
        <v>166</v>
      </c>
      <c r="E61" t="s">
        <v>204</v>
      </c>
      <c r="F61" s="1" t="s">
        <v>205</v>
      </c>
      <c r="G61" s="1" t="s">
        <v>206</v>
      </c>
      <c r="H61" s="1" t="s">
        <v>359</v>
      </c>
      <c r="I61" t="str">
        <f t="shared" si="0"/>
        <v>('SL1E-060','SL1E','R','GINA'),</v>
      </c>
      <c r="J61" t="s">
        <v>555</v>
      </c>
      <c r="K61" s="2" t="s">
        <v>616</v>
      </c>
      <c r="L61" s="3" t="str">
        <f t="shared" si="1"/>
        <v>SET001_060</v>
      </c>
      <c r="M61" t="s">
        <v>705</v>
      </c>
      <c r="N61" t="s">
        <v>706</v>
      </c>
      <c r="O61" t="s">
        <v>707</v>
      </c>
      <c r="P61" t="str">
        <f t="shared" si="2"/>
        <v>UPDATE CardPool SET cards_Display_Order = 'SET001_060' WHERE CardCode = 'SL1E-060';</v>
      </c>
    </row>
    <row r="62" spans="1:16" x14ac:dyDescent="0.25">
      <c r="A62" t="s">
        <v>267</v>
      </c>
      <c r="B62" t="s">
        <v>299</v>
      </c>
      <c r="C62" t="s">
        <v>139</v>
      </c>
      <c r="D62" t="s">
        <v>334</v>
      </c>
      <c r="E62" t="s">
        <v>204</v>
      </c>
      <c r="F62" s="1" t="s">
        <v>205</v>
      </c>
      <c r="G62" s="1" t="s">
        <v>206</v>
      </c>
      <c r="H62" s="1" t="s">
        <v>359</v>
      </c>
      <c r="I62" t="str">
        <f t="shared" si="0"/>
        <v>('SL1E-061','SL1E','R','JOONTAE'),</v>
      </c>
      <c r="J62" t="s">
        <v>555</v>
      </c>
      <c r="K62" s="2" t="s">
        <v>617</v>
      </c>
      <c r="L62" s="3" t="str">
        <f t="shared" si="1"/>
        <v>SET001_061</v>
      </c>
      <c r="M62" t="s">
        <v>705</v>
      </c>
      <c r="N62" t="s">
        <v>706</v>
      </c>
      <c r="O62" t="s">
        <v>707</v>
      </c>
      <c r="P62" t="str">
        <f t="shared" si="2"/>
        <v>UPDATE CardPool SET cards_Display_Order = 'SET001_061' WHERE CardCode = 'SL1E-061';</v>
      </c>
    </row>
    <row r="63" spans="1:16" x14ac:dyDescent="0.25">
      <c r="A63" t="s">
        <v>268</v>
      </c>
      <c r="B63" t="s">
        <v>299</v>
      </c>
      <c r="C63" t="s">
        <v>139</v>
      </c>
      <c r="D63" t="s">
        <v>335</v>
      </c>
      <c r="E63" t="s">
        <v>204</v>
      </c>
      <c r="F63" s="1" t="s">
        <v>205</v>
      </c>
      <c r="G63" s="1" t="s">
        <v>206</v>
      </c>
      <c r="H63" s="1" t="s">
        <v>359</v>
      </c>
      <c r="I63" t="str">
        <f t="shared" si="0"/>
        <v>('SL1E-062','SL1E','R','LAURA'),</v>
      </c>
      <c r="J63" t="s">
        <v>555</v>
      </c>
      <c r="K63" s="2" t="s">
        <v>618</v>
      </c>
      <c r="L63" s="3" t="str">
        <f t="shared" si="1"/>
        <v>SET001_062</v>
      </c>
      <c r="M63" t="s">
        <v>705</v>
      </c>
      <c r="N63" t="s">
        <v>706</v>
      </c>
      <c r="O63" t="s">
        <v>707</v>
      </c>
      <c r="P63" t="str">
        <f t="shared" si="2"/>
        <v>UPDATE CardPool SET cards_Display_Order = 'SET001_062' WHERE CardCode = 'SL1E-062';</v>
      </c>
    </row>
    <row r="64" spans="1:16" x14ac:dyDescent="0.25">
      <c r="A64" t="s">
        <v>269</v>
      </c>
      <c r="B64" t="s">
        <v>299</v>
      </c>
      <c r="C64" t="s">
        <v>139</v>
      </c>
      <c r="D64" t="s">
        <v>174</v>
      </c>
      <c r="E64" t="s">
        <v>204</v>
      </c>
      <c r="F64" s="1" t="s">
        <v>205</v>
      </c>
      <c r="G64" s="1" t="s">
        <v>206</v>
      </c>
      <c r="H64" s="1" t="s">
        <v>359</v>
      </c>
      <c r="I64" t="str">
        <f t="shared" si="0"/>
        <v>('SL1E-063','SL1E','R','HWANG DONGSOO'),</v>
      </c>
      <c r="J64" t="s">
        <v>555</v>
      </c>
      <c r="K64" s="2" t="s">
        <v>619</v>
      </c>
      <c r="L64" s="3" t="str">
        <f t="shared" si="1"/>
        <v>SET001_063</v>
      </c>
      <c r="M64" t="s">
        <v>705</v>
      </c>
      <c r="N64" t="s">
        <v>706</v>
      </c>
      <c r="O64" t="s">
        <v>707</v>
      </c>
      <c r="P64" t="str">
        <f t="shared" si="2"/>
        <v>UPDATE CardPool SET cards_Display_Order = 'SET001_063' WHERE CardCode = 'SL1E-063';</v>
      </c>
    </row>
    <row r="65" spans="1:16" x14ac:dyDescent="0.25">
      <c r="A65" t="s">
        <v>270</v>
      </c>
      <c r="B65" t="s">
        <v>299</v>
      </c>
      <c r="C65" t="s">
        <v>139</v>
      </c>
      <c r="D65" t="s">
        <v>181</v>
      </c>
      <c r="E65" t="s">
        <v>204</v>
      </c>
      <c r="F65" s="1" t="s">
        <v>205</v>
      </c>
      <c r="G65" s="1" t="s">
        <v>206</v>
      </c>
      <c r="H65" s="1" t="s">
        <v>359</v>
      </c>
      <c r="I65" t="str">
        <f t="shared" si="0"/>
        <v>('SL1E-064','SL1E','R','AHN SANGMIN'),</v>
      </c>
      <c r="J65" t="s">
        <v>555</v>
      </c>
      <c r="K65" s="2" t="s">
        <v>620</v>
      </c>
      <c r="L65" s="3" t="str">
        <f t="shared" si="1"/>
        <v>SET001_064</v>
      </c>
      <c r="M65" t="s">
        <v>705</v>
      </c>
      <c r="N65" t="s">
        <v>706</v>
      </c>
      <c r="O65" t="s">
        <v>707</v>
      </c>
      <c r="P65" t="str">
        <f t="shared" si="2"/>
        <v>UPDATE CardPool SET cards_Display_Order = 'SET001_064' WHERE CardCode = 'SL1E-064';</v>
      </c>
    </row>
    <row r="66" spans="1:16" x14ac:dyDescent="0.25">
      <c r="A66" t="s">
        <v>271</v>
      </c>
      <c r="B66" t="s">
        <v>299</v>
      </c>
      <c r="C66" t="s">
        <v>139</v>
      </c>
      <c r="D66" t="s">
        <v>182</v>
      </c>
      <c r="E66" t="s">
        <v>204</v>
      </c>
      <c r="F66" s="1" t="s">
        <v>205</v>
      </c>
      <c r="G66" s="1" t="s">
        <v>206</v>
      </c>
      <c r="H66" s="1" t="s">
        <v>359</v>
      </c>
      <c r="I66" t="str">
        <f t="shared" si="0"/>
        <v>('SL1E-065','SL1E','R','HYUN KICHUL'),</v>
      </c>
      <c r="J66" t="s">
        <v>555</v>
      </c>
      <c r="K66" s="2" t="s">
        <v>621</v>
      </c>
      <c r="L66" s="3" t="str">
        <f t="shared" si="1"/>
        <v>SET001_065</v>
      </c>
      <c r="M66" t="s">
        <v>705</v>
      </c>
      <c r="N66" t="s">
        <v>706</v>
      </c>
      <c r="O66" t="s">
        <v>707</v>
      </c>
      <c r="P66" t="str">
        <f t="shared" si="2"/>
        <v>UPDATE CardPool SET cards_Display_Order = 'SET001_065' WHERE CardCode = 'SL1E-065';</v>
      </c>
    </row>
    <row r="67" spans="1:16" x14ac:dyDescent="0.25">
      <c r="A67" t="s">
        <v>272</v>
      </c>
      <c r="B67" t="s">
        <v>299</v>
      </c>
      <c r="C67" t="s">
        <v>139</v>
      </c>
      <c r="D67" t="s">
        <v>336</v>
      </c>
      <c r="E67" t="s">
        <v>204</v>
      </c>
      <c r="F67" s="1" t="s">
        <v>205</v>
      </c>
      <c r="G67" s="1" t="s">
        <v>206</v>
      </c>
      <c r="H67" s="1" t="s">
        <v>359</v>
      </c>
      <c r="I67" t="str">
        <f t="shared" ref="I67:I130" si="3">CONCATENATE(E67,A67,F67,B67,F67,C67,F67,D67,G67,H67)</f>
        <v>('SL1E-066','SL1E','R','YOO JIMSUNG'),</v>
      </c>
      <c r="J67" t="s">
        <v>555</v>
      </c>
      <c r="K67" s="2" t="s">
        <v>622</v>
      </c>
      <c r="L67" s="3" t="str">
        <f t="shared" ref="L67:L130" si="4">_xlfn.CONCAT(J67,"_",K67)</f>
        <v>SET001_066</v>
      </c>
      <c r="M67" t="s">
        <v>705</v>
      </c>
      <c r="N67" t="s">
        <v>706</v>
      </c>
      <c r="O67" t="s">
        <v>707</v>
      </c>
      <c r="P67" t="str">
        <f t="shared" ref="P67:P130" si="5">_xlfn.CONCAT(M67,L67,N67,A67,O67)</f>
        <v>UPDATE CardPool SET cards_Display_Order = 'SET001_066' WHERE CardCode = 'SL1E-066';</v>
      </c>
    </row>
    <row r="68" spans="1:16" x14ac:dyDescent="0.25">
      <c r="A68" t="s">
        <v>273</v>
      </c>
      <c r="B68" t="s">
        <v>299</v>
      </c>
      <c r="C68" t="s">
        <v>139</v>
      </c>
      <c r="D68" t="s">
        <v>164</v>
      </c>
      <c r="E68" t="s">
        <v>204</v>
      </c>
      <c r="F68" s="1" t="s">
        <v>205</v>
      </c>
      <c r="G68" s="1" t="s">
        <v>206</v>
      </c>
      <c r="H68" s="1" t="s">
        <v>359</v>
      </c>
      <c r="I68" t="str">
        <f t="shared" si="3"/>
        <v>('SL1E-067','SL1E','R','HAN SONG-YI'),</v>
      </c>
      <c r="J68" t="s">
        <v>555</v>
      </c>
      <c r="K68" s="2" t="s">
        <v>623</v>
      </c>
      <c r="L68" s="3" t="str">
        <f t="shared" si="4"/>
        <v>SET001_067</v>
      </c>
      <c r="M68" t="s">
        <v>705</v>
      </c>
      <c r="N68" t="s">
        <v>706</v>
      </c>
      <c r="O68" t="s">
        <v>707</v>
      </c>
      <c r="P68" t="str">
        <f t="shared" si="5"/>
        <v>UPDATE CardPool SET cards_Display_Order = 'SET001_067' WHERE CardCode = 'SL1E-067';</v>
      </c>
    </row>
    <row r="69" spans="1:16" x14ac:dyDescent="0.25">
      <c r="A69" t="s">
        <v>274</v>
      </c>
      <c r="B69" t="s">
        <v>299</v>
      </c>
      <c r="C69" t="s">
        <v>139</v>
      </c>
      <c r="D69" t="s">
        <v>337</v>
      </c>
      <c r="E69" t="s">
        <v>204</v>
      </c>
      <c r="F69" s="1" t="s">
        <v>205</v>
      </c>
      <c r="G69" s="1" t="s">
        <v>206</v>
      </c>
      <c r="H69" s="1" t="s">
        <v>359</v>
      </c>
      <c r="I69" t="str">
        <f t="shared" si="3"/>
        <v>('SL1E-068','SL1E','R','EUNSEOK'),</v>
      </c>
      <c r="J69" t="s">
        <v>555</v>
      </c>
      <c r="K69" s="2" t="s">
        <v>624</v>
      </c>
      <c r="L69" s="3" t="str">
        <f t="shared" si="4"/>
        <v>SET001_068</v>
      </c>
      <c r="M69" t="s">
        <v>705</v>
      </c>
      <c r="N69" t="s">
        <v>706</v>
      </c>
      <c r="O69" t="s">
        <v>707</v>
      </c>
      <c r="P69" t="str">
        <f t="shared" si="5"/>
        <v>UPDATE CardPool SET cards_Display_Order = 'SET001_068' WHERE CardCode = 'SL1E-068';</v>
      </c>
    </row>
    <row r="70" spans="1:16" x14ac:dyDescent="0.25">
      <c r="A70" t="s">
        <v>275</v>
      </c>
      <c r="B70" t="s">
        <v>299</v>
      </c>
      <c r="C70" t="s">
        <v>139</v>
      </c>
      <c r="D70" t="s">
        <v>338</v>
      </c>
      <c r="E70" t="s">
        <v>204</v>
      </c>
      <c r="F70" s="1" t="s">
        <v>205</v>
      </c>
      <c r="G70" s="1" t="s">
        <v>206</v>
      </c>
      <c r="H70" s="1" t="s">
        <v>359</v>
      </c>
      <c r="I70" t="str">
        <f t="shared" si="3"/>
        <v>('SL1E-069','SL1E','R','MIN BYUNG-GU'),</v>
      </c>
      <c r="J70" t="s">
        <v>555</v>
      </c>
      <c r="K70" s="2" t="s">
        <v>625</v>
      </c>
      <c r="L70" s="3" t="str">
        <f t="shared" si="4"/>
        <v>SET001_069</v>
      </c>
      <c r="M70" t="s">
        <v>705</v>
      </c>
      <c r="N70" t="s">
        <v>706</v>
      </c>
      <c r="O70" t="s">
        <v>707</v>
      </c>
      <c r="P70" t="str">
        <f t="shared" si="5"/>
        <v>UPDATE CardPool SET cards_Display_Order = 'SET001_069' WHERE CardCode = 'SL1E-069';</v>
      </c>
    </row>
    <row r="71" spans="1:16" x14ac:dyDescent="0.25">
      <c r="A71" t="s">
        <v>276</v>
      </c>
      <c r="B71" t="s">
        <v>299</v>
      </c>
      <c r="C71" t="s">
        <v>140</v>
      </c>
      <c r="D71" t="s">
        <v>155</v>
      </c>
      <c r="E71" t="s">
        <v>204</v>
      </c>
      <c r="F71" s="1" t="s">
        <v>205</v>
      </c>
      <c r="G71" s="1" t="s">
        <v>206</v>
      </c>
      <c r="H71" s="1" t="s">
        <v>359</v>
      </c>
      <c r="I71" t="str">
        <f t="shared" si="3"/>
        <v>('SL1E-070','SL1E','SR','SUNG JINWOO'),</v>
      </c>
      <c r="J71" t="s">
        <v>555</v>
      </c>
      <c r="K71" s="2" t="s">
        <v>626</v>
      </c>
      <c r="L71" s="3" t="str">
        <f t="shared" si="4"/>
        <v>SET001_070</v>
      </c>
      <c r="M71" t="s">
        <v>705</v>
      </c>
      <c r="N71" t="s">
        <v>706</v>
      </c>
      <c r="O71" t="s">
        <v>707</v>
      </c>
      <c r="P71" t="str">
        <f t="shared" si="5"/>
        <v>UPDATE CardPool SET cards_Display_Order = 'SET001_070' WHERE CardCode = 'SL1E-070';</v>
      </c>
    </row>
    <row r="72" spans="1:16" x14ac:dyDescent="0.25">
      <c r="A72" t="s">
        <v>277</v>
      </c>
      <c r="B72" t="s">
        <v>299</v>
      </c>
      <c r="C72" t="s">
        <v>140</v>
      </c>
      <c r="D72" t="s">
        <v>155</v>
      </c>
      <c r="E72" t="s">
        <v>204</v>
      </c>
      <c r="F72" s="1" t="s">
        <v>205</v>
      </c>
      <c r="G72" s="1" t="s">
        <v>206</v>
      </c>
      <c r="H72" s="1" t="s">
        <v>359</v>
      </c>
      <c r="I72" t="str">
        <f t="shared" si="3"/>
        <v>('SL1E-071','SL1E','SR','SUNG JINWOO'),</v>
      </c>
      <c r="J72" t="s">
        <v>555</v>
      </c>
      <c r="K72" s="2" t="s">
        <v>627</v>
      </c>
      <c r="L72" s="3" t="str">
        <f t="shared" si="4"/>
        <v>SET001_071</v>
      </c>
      <c r="M72" t="s">
        <v>705</v>
      </c>
      <c r="N72" t="s">
        <v>706</v>
      </c>
      <c r="O72" t="s">
        <v>707</v>
      </c>
      <c r="P72" t="str">
        <f t="shared" si="5"/>
        <v>UPDATE CardPool SET cards_Display_Order = 'SET001_071' WHERE CardCode = 'SL1E-071';</v>
      </c>
    </row>
    <row r="73" spans="1:16" x14ac:dyDescent="0.25">
      <c r="A73" t="s">
        <v>278</v>
      </c>
      <c r="B73" t="s">
        <v>299</v>
      </c>
      <c r="C73" t="s">
        <v>140</v>
      </c>
      <c r="D73" t="s">
        <v>156</v>
      </c>
      <c r="E73" t="s">
        <v>204</v>
      </c>
      <c r="F73" s="1" t="s">
        <v>205</v>
      </c>
      <c r="G73" s="1" t="s">
        <v>206</v>
      </c>
      <c r="H73" s="1" t="s">
        <v>359</v>
      </c>
      <c r="I73" t="str">
        <f t="shared" si="3"/>
        <v>('SL1E-072','SL1E','SR','YOO JINHO'),</v>
      </c>
      <c r="J73" t="s">
        <v>555</v>
      </c>
      <c r="K73" s="2" t="s">
        <v>628</v>
      </c>
      <c r="L73" s="3" t="str">
        <f t="shared" si="4"/>
        <v>SET001_072</v>
      </c>
      <c r="M73" t="s">
        <v>705</v>
      </c>
      <c r="N73" t="s">
        <v>706</v>
      </c>
      <c r="O73" t="s">
        <v>707</v>
      </c>
      <c r="P73" t="str">
        <f t="shared" si="5"/>
        <v>UPDATE CardPool SET cards_Display_Order = 'SET001_072' WHERE CardCode = 'SL1E-072';</v>
      </c>
    </row>
    <row r="74" spans="1:16" x14ac:dyDescent="0.25">
      <c r="A74" t="s">
        <v>279</v>
      </c>
      <c r="B74" t="s">
        <v>299</v>
      </c>
      <c r="C74" t="s">
        <v>140</v>
      </c>
      <c r="D74" t="s">
        <v>159</v>
      </c>
      <c r="E74" t="s">
        <v>204</v>
      </c>
      <c r="F74" s="1" t="s">
        <v>205</v>
      </c>
      <c r="G74" s="1" t="s">
        <v>206</v>
      </c>
      <c r="H74" s="1" t="s">
        <v>359</v>
      </c>
      <c r="I74" t="str">
        <f t="shared" si="3"/>
        <v>('SL1E-073','SL1E','SR','CHA HAE-IN'),</v>
      </c>
      <c r="J74" t="s">
        <v>555</v>
      </c>
      <c r="K74" s="2" t="s">
        <v>629</v>
      </c>
      <c r="L74" s="3" t="str">
        <f t="shared" si="4"/>
        <v>SET001_073</v>
      </c>
      <c r="M74" t="s">
        <v>705</v>
      </c>
      <c r="N74" t="s">
        <v>706</v>
      </c>
      <c r="O74" t="s">
        <v>707</v>
      </c>
      <c r="P74" t="str">
        <f t="shared" si="5"/>
        <v>UPDATE CardPool SET cards_Display_Order = 'SET001_073' WHERE CardCode = 'SL1E-073';</v>
      </c>
    </row>
    <row r="75" spans="1:16" x14ac:dyDescent="0.25">
      <c r="A75" t="s">
        <v>280</v>
      </c>
      <c r="B75" t="s">
        <v>299</v>
      </c>
      <c r="C75" t="s">
        <v>140</v>
      </c>
      <c r="D75" t="s">
        <v>157</v>
      </c>
      <c r="E75" t="s">
        <v>204</v>
      </c>
      <c r="F75" s="1" t="s">
        <v>205</v>
      </c>
      <c r="G75" s="1" t="s">
        <v>206</v>
      </c>
      <c r="H75" s="1" t="s">
        <v>359</v>
      </c>
      <c r="I75" t="str">
        <f t="shared" si="3"/>
        <v>('SL1E-074','SL1E','SR','BAEK YOONHO'),</v>
      </c>
      <c r="J75" t="s">
        <v>555</v>
      </c>
      <c r="K75" s="2" t="s">
        <v>630</v>
      </c>
      <c r="L75" s="3" t="str">
        <f t="shared" si="4"/>
        <v>SET001_074</v>
      </c>
      <c r="M75" t="s">
        <v>705</v>
      </c>
      <c r="N75" t="s">
        <v>706</v>
      </c>
      <c r="O75" t="s">
        <v>707</v>
      </c>
      <c r="P75" t="str">
        <f t="shared" si="5"/>
        <v>UPDATE CardPool SET cards_Display_Order = 'SET001_074' WHERE CardCode = 'SL1E-074';</v>
      </c>
    </row>
    <row r="76" spans="1:16" x14ac:dyDescent="0.25">
      <c r="A76" t="s">
        <v>281</v>
      </c>
      <c r="B76" t="s">
        <v>299</v>
      </c>
      <c r="C76" t="s">
        <v>140</v>
      </c>
      <c r="D76" t="s">
        <v>158</v>
      </c>
      <c r="E76" t="s">
        <v>204</v>
      </c>
      <c r="F76" s="1" t="s">
        <v>205</v>
      </c>
      <c r="G76" s="1" t="s">
        <v>206</v>
      </c>
      <c r="H76" s="1" t="s">
        <v>359</v>
      </c>
      <c r="I76" t="str">
        <f t="shared" si="3"/>
        <v>('SL1E-075','SL1E','SR','CHOI JONG-IN'),</v>
      </c>
      <c r="J76" t="s">
        <v>555</v>
      </c>
      <c r="K76" s="2" t="s">
        <v>631</v>
      </c>
      <c r="L76" s="3" t="str">
        <f t="shared" si="4"/>
        <v>SET001_075</v>
      </c>
      <c r="M76" t="s">
        <v>705</v>
      </c>
      <c r="N76" t="s">
        <v>706</v>
      </c>
      <c r="O76" t="s">
        <v>707</v>
      </c>
      <c r="P76" t="str">
        <f t="shared" si="5"/>
        <v>UPDATE CardPool SET cards_Display_Order = 'SET001_075' WHERE CardCode = 'SL1E-075';</v>
      </c>
    </row>
    <row r="77" spans="1:16" x14ac:dyDescent="0.25">
      <c r="A77" t="s">
        <v>282</v>
      </c>
      <c r="B77" t="s">
        <v>299</v>
      </c>
      <c r="C77" t="s">
        <v>140</v>
      </c>
      <c r="D77" t="s">
        <v>161</v>
      </c>
      <c r="E77" t="s">
        <v>204</v>
      </c>
      <c r="F77" s="1" t="s">
        <v>205</v>
      </c>
      <c r="G77" s="1" t="s">
        <v>206</v>
      </c>
      <c r="H77" s="1" t="s">
        <v>359</v>
      </c>
      <c r="I77" t="str">
        <f t="shared" si="3"/>
        <v>('SL1E-076','SL1E','SR','GO GUNHEE'),</v>
      </c>
      <c r="J77" t="s">
        <v>555</v>
      </c>
      <c r="K77" s="2" t="s">
        <v>632</v>
      </c>
      <c r="L77" s="3" t="str">
        <f t="shared" si="4"/>
        <v>SET001_076</v>
      </c>
      <c r="M77" t="s">
        <v>705</v>
      </c>
      <c r="N77" t="s">
        <v>706</v>
      </c>
      <c r="O77" t="s">
        <v>707</v>
      </c>
      <c r="P77" t="str">
        <f t="shared" si="5"/>
        <v>UPDATE CardPool SET cards_Display_Order = 'SET001_076' WHERE CardCode = 'SL1E-076';</v>
      </c>
    </row>
    <row r="78" spans="1:16" x14ac:dyDescent="0.25">
      <c r="A78" t="s">
        <v>283</v>
      </c>
      <c r="B78" t="s">
        <v>299</v>
      </c>
      <c r="C78" t="s">
        <v>140</v>
      </c>
      <c r="D78" t="s">
        <v>160</v>
      </c>
      <c r="E78" t="s">
        <v>204</v>
      </c>
      <c r="F78" s="1" t="s">
        <v>205</v>
      </c>
      <c r="G78" s="1" t="s">
        <v>206</v>
      </c>
      <c r="H78" s="1" t="s">
        <v>359</v>
      </c>
      <c r="I78" t="str">
        <f t="shared" si="3"/>
        <v>('SL1E-077','SL1E','SR','WOO JINCHUL'),</v>
      </c>
      <c r="J78" t="s">
        <v>555</v>
      </c>
      <c r="K78" s="2" t="s">
        <v>633</v>
      </c>
      <c r="L78" s="3" t="str">
        <f t="shared" si="4"/>
        <v>SET001_077</v>
      </c>
      <c r="M78" t="s">
        <v>705</v>
      </c>
      <c r="N78" t="s">
        <v>706</v>
      </c>
      <c r="O78" t="s">
        <v>707</v>
      </c>
      <c r="P78" t="str">
        <f t="shared" si="5"/>
        <v>UPDATE CardPool SET cards_Display_Order = 'SET001_077' WHERE CardCode = 'SL1E-077';</v>
      </c>
    </row>
    <row r="79" spans="1:16" x14ac:dyDescent="0.25">
      <c r="A79" t="s">
        <v>284</v>
      </c>
      <c r="B79" t="s">
        <v>299</v>
      </c>
      <c r="C79" t="s">
        <v>140</v>
      </c>
      <c r="D79" t="s">
        <v>355</v>
      </c>
      <c r="E79" t="s">
        <v>204</v>
      </c>
      <c r="F79" s="1" t="s">
        <v>205</v>
      </c>
      <c r="G79" s="1" t="s">
        <v>206</v>
      </c>
      <c r="H79" s="1" t="s">
        <v>359</v>
      </c>
      <c r="I79" t="str">
        <f t="shared" si="3"/>
        <v>('SL1E-078','SL1E','SR','SUNG JINWOO, YOO JINHO'),</v>
      </c>
      <c r="J79" t="s">
        <v>555</v>
      </c>
      <c r="K79" s="2" t="s">
        <v>634</v>
      </c>
      <c r="L79" s="3" t="str">
        <f t="shared" si="4"/>
        <v>SET001_078</v>
      </c>
      <c r="M79" t="s">
        <v>705</v>
      </c>
      <c r="N79" t="s">
        <v>706</v>
      </c>
      <c r="O79" t="s">
        <v>707</v>
      </c>
      <c r="P79" t="str">
        <f t="shared" si="5"/>
        <v>UPDATE CardPool SET cards_Display_Order = 'SET001_078' WHERE CardCode = 'SL1E-078';</v>
      </c>
    </row>
    <row r="80" spans="1:16" x14ac:dyDescent="0.25">
      <c r="A80" t="s">
        <v>285</v>
      </c>
      <c r="B80" t="s">
        <v>299</v>
      </c>
      <c r="C80" t="s">
        <v>140</v>
      </c>
      <c r="D80" t="s">
        <v>356</v>
      </c>
      <c r="E80" t="s">
        <v>204</v>
      </c>
      <c r="F80" s="1" t="s">
        <v>205</v>
      </c>
      <c r="G80" s="1" t="s">
        <v>206</v>
      </c>
      <c r="H80" s="1" t="s">
        <v>359</v>
      </c>
      <c r="I80" t="str">
        <f t="shared" si="3"/>
        <v>('SL1E-079','SL1E','SR','CHA HAE-IN, CHOI JONG-IN'),</v>
      </c>
      <c r="J80" t="s">
        <v>555</v>
      </c>
      <c r="K80" s="2" t="s">
        <v>635</v>
      </c>
      <c r="L80" s="3" t="str">
        <f t="shared" si="4"/>
        <v>SET001_079</v>
      </c>
      <c r="M80" t="s">
        <v>705</v>
      </c>
      <c r="N80" t="s">
        <v>706</v>
      </c>
      <c r="O80" t="s">
        <v>707</v>
      </c>
      <c r="P80" t="str">
        <f t="shared" si="5"/>
        <v>UPDATE CardPool SET cards_Display_Order = 'SET001_079' WHERE CardCode = 'SL1E-079';</v>
      </c>
    </row>
    <row r="81" spans="1:16" x14ac:dyDescent="0.25">
      <c r="A81" t="s">
        <v>286</v>
      </c>
      <c r="B81" t="s">
        <v>299</v>
      </c>
      <c r="C81" t="s">
        <v>140</v>
      </c>
      <c r="D81" t="s">
        <v>353</v>
      </c>
      <c r="E81" t="s">
        <v>204</v>
      </c>
      <c r="F81" s="1" t="s">
        <v>205</v>
      </c>
      <c r="G81" s="1" t="s">
        <v>206</v>
      </c>
      <c r="H81" s="1" t="s">
        <v>359</v>
      </c>
      <c r="I81" t="str">
        <f t="shared" si="3"/>
        <v>('SL1E-080','SL1E','SR','BAEK YOONHO, GO GUNHEE, WOO JINCHUL'),</v>
      </c>
      <c r="J81" t="s">
        <v>555</v>
      </c>
      <c r="K81" s="2" t="s">
        <v>636</v>
      </c>
      <c r="L81" s="3" t="str">
        <f t="shared" si="4"/>
        <v>SET001_080</v>
      </c>
      <c r="M81" t="s">
        <v>705</v>
      </c>
      <c r="N81" t="s">
        <v>706</v>
      </c>
      <c r="O81" t="s">
        <v>707</v>
      </c>
      <c r="P81" t="str">
        <f t="shared" si="5"/>
        <v>UPDATE CardPool SET cards_Display_Order = 'SET001_080' WHERE CardCode = 'SL1E-080';</v>
      </c>
    </row>
    <row r="82" spans="1:16" x14ac:dyDescent="0.25">
      <c r="A82" t="s">
        <v>287</v>
      </c>
      <c r="B82" t="s">
        <v>299</v>
      </c>
      <c r="C82" t="s">
        <v>140</v>
      </c>
      <c r="D82" t="s">
        <v>357</v>
      </c>
      <c r="E82" t="s">
        <v>204</v>
      </c>
      <c r="F82" s="1" t="s">
        <v>205</v>
      </c>
      <c r="G82" s="1" t="s">
        <v>206</v>
      </c>
      <c r="H82" s="1" t="s">
        <v>359</v>
      </c>
      <c r="I82" t="str">
        <f t="shared" si="3"/>
        <v>('SL1E-081','SL1E','SR','CHA HAE-IN, SUNG JINWOO'),</v>
      </c>
      <c r="J82" t="s">
        <v>555</v>
      </c>
      <c r="K82" s="2" t="s">
        <v>637</v>
      </c>
      <c r="L82" s="3" t="str">
        <f t="shared" si="4"/>
        <v>SET001_081</v>
      </c>
      <c r="M82" t="s">
        <v>705</v>
      </c>
      <c r="N82" t="s">
        <v>706</v>
      </c>
      <c r="O82" t="s">
        <v>707</v>
      </c>
      <c r="P82" t="str">
        <f t="shared" si="5"/>
        <v>UPDATE CardPool SET cards_Display_Order = 'SET001_081' WHERE CardCode = 'SL1E-081';</v>
      </c>
    </row>
    <row r="83" spans="1:16" x14ac:dyDescent="0.25">
      <c r="A83" t="s">
        <v>288</v>
      </c>
      <c r="B83" t="s">
        <v>299</v>
      </c>
      <c r="C83" t="s">
        <v>140</v>
      </c>
      <c r="D83" t="s">
        <v>354</v>
      </c>
      <c r="E83" t="s">
        <v>204</v>
      </c>
      <c r="F83" s="1" t="s">
        <v>205</v>
      </c>
      <c r="G83" s="1" t="s">
        <v>206</v>
      </c>
      <c r="H83" s="1" t="s">
        <v>359</v>
      </c>
      <c r="I83" t="str">
        <f t="shared" si="3"/>
        <v>('SL1E-082','SL1E','SR','GO GUNHEE, WOO JINCHUL'),</v>
      </c>
      <c r="J83" t="s">
        <v>555</v>
      </c>
      <c r="K83" s="2" t="s">
        <v>638</v>
      </c>
      <c r="L83" s="3" t="str">
        <f t="shared" si="4"/>
        <v>SET001_082</v>
      </c>
      <c r="M83" t="s">
        <v>705</v>
      </c>
      <c r="N83" t="s">
        <v>706</v>
      </c>
      <c r="O83" t="s">
        <v>707</v>
      </c>
      <c r="P83" t="str">
        <f t="shared" si="5"/>
        <v>UPDATE CardPool SET cards_Display_Order = 'SET001_082' WHERE CardCode = 'SL1E-082';</v>
      </c>
    </row>
    <row r="84" spans="1:16" x14ac:dyDescent="0.25">
      <c r="A84" t="s">
        <v>289</v>
      </c>
      <c r="B84" t="s">
        <v>299</v>
      </c>
      <c r="C84" t="s">
        <v>140</v>
      </c>
      <c r="D84" t="s">
        <v>358</v>
      </c>
      <c r="E84" t="s">
        <v>204</v>
      </c>
      <c r="F84" s="1" t="s">
        <v>205</v>
      </c>
      <c r="G84" s="1" t="s">
        <v>206</v>
      </c>
      <c r="H84" s="1" t="s">
        <v>359</v>
      </c>
      <c r="I84" t="str">
        <f t="shared" si="3"/>
        <v>('SL1E-083','SL1E','SR','SUNG JINWOO, YOO JINHO, CHA HAE-IN'),</v>
      </c>
      <c r="J84" t="s">
        <v>555</v>
      </c>
      <c r="K84" s="2" t="s">
        <v>639</v>
      </c>
      <c r="L84" s="3" t="str">
        <f t="shared" si="4"/>
        <v>SET001_083</v>
      </c>
      <c r="M84" t="s">
        <v>705</v>
      </c>
      <c r="N84" t="s">
        <v>706</v>
      </c>
      <c r="O84" t="s">
        <v>707</v>
      </c>
      <c r="P84" t="str">
        <f t="shared" si="5"/>
        <v>UPDATE CardPool SET cards_Display_Order = 'SET001_083' WHERE CardCode = 'SL1E-083';</v>
      </c>
    </row>
    <row r="85" spans="1:16" x14ac:dyDescent="0.25">
      <c r="A85" t="s">
        <v>290</v>
      </c>
      <c r="B85" t="s">
        <v>299</v>
      </c>
      <c r="C85" t="s">
        <v>142</v>
      </c>
      <c r="D85" t="s">
        <v>155</v>
      </c>
      <c r="E85" t="s">
        <v>204</v>
      </c>
      <c r="F85" s="1" t="s">
        <v>205</v>
      </c>
      <c r="G85" s="1" t="s">
        <v>206</v>
      </c>
      <c r="H85" s="1" t="s">
        <v>359</v>
      </c>
      <c r="I85" t="str">
        <f t="shared" si="3"/>
        <v>('SL1E-084','SL1E','UR','SUNG JINWOO'),</v>
      </c>
      <c r="J85" t="s">
        <v>555</v>
      </c>
      <c r="K85" s="2" t="s">
        <v>640</v>
      </c>
      <c r="L85" s="3" t="str">
        <f t="shared" si="4"/>
        <v>SET001_084</v>
      </c>
      <c r="M85" t="s">
        <v>705</v>
      </c>
      <c r="N85" t="s">
        <v>706</v>
      </c>
      <c r="O85" t="s">
        <v>707</v>
      </c>
      <c r="P85" t="str">
        <f t="shared" si="5"/>
        <v>UPDATE CardPool SET cards_Display_Order = 'SET001_084' WHERE CardCode = 'SL1E-084';</v>
      </c>
    </row>
    <row r="86" spans="1:16" x14ac:dyDescent="0.25">
      <c r="A86" t="s">
        <v>291</v>
      </c>
      <c r="B86" t="s">
        <v>299</v>
      </c>
      <c r="C86" t="s">
        <v>142</v>
      </c>
      <c r="D86" t="s">
        <v>156</v>
      </c>
      <c r="E86" t="s">
        <v>204</v>
      </c>
      <c r="F86" s="1" t="s">
        <v>205</v>
      </c>
      <c r="G86" s="1" t="s">
        <v>206</v>
      </c>
      <c r="H86" s="1" t="s">
        <v>359</v>
      </c>
      <c r="I86" t="str">
        <f t="shared" si="3"/>
        <v>('SL1E-085','SL1E','UR','YOO JINHO'),</v>
      </c>
      <c r="J86" t="s">
        <v>555</v>
      </c>
      <c r="K86" s="2" t="s">
        <v>641</v>
      </c>
      <c r="L86" s="3" t="str">
        <f t="shared" si="4"/>
        <v>SET001_085</v>
      </c>
      <c r="M86" t="s">
        <v>705</v>
      </c>
      <c r="N86" t="s">
        <v>706</v>
      </c>
      <c r="O86" t="s">
        <v>707</v>
      </c>
      <c r="P86" t="str">
        <f t="shared" si="5"/>
        <v>UPDATE CardPool SET cards_Display_Order = 'SET001_085' WHERE CardCode = 'SL1E-085';</v>
      </c>
    </row>
    <row r="87" spans="1:16" x14ac:dyDescent="0.25">
      <c r="A87" t="s">
        <v>292</v>
      </c>
      <c r="B87" t="s">
        <v>299</v>
      </c>
      <c r="C87" t="s">
        <v>142</v>
      </c>
      <c r="D87" t="s">
        <v>159</v>
      </c>
      <c r="E87" t="s">
        <v>204</v>
      </c>
      <c r="F87" s="1" t="s">
        <v>205</v>
      </c>
      <c r="G87" s="1" t="s">
        <v>206</v>
      </c>
      <c r="H87" s="1" t="s">
        <v>359</v>
      </c>
      <c r="I87" t="str">
        <f t="shared" si="3"/>
        <v>('SL1E-086','SL1E','UR','CHA HAE-IN'),</v>
      </c>
      <c r="J87" t="s">
        <v>555</v>
      </c>
      <c r="K87" s="2" t="s">
        <v>642</v>
      </c>
      <c r="L87" s="3" t="str">
        <f t="shared" si="4"/>
        <v>SET001_086</v>
      </c>
      <c r="M87" t="s">
        <v>705</v>
      </c>
      <c r="N87" t="s">
        <v>706</v>
      </c>
      <c r="O87" t="s">
        <v>707</v>
      </c>
      <c r="P87" t="str">
        <f t="shared" si="5"/>
        <v>UPDATE CardPool SET cards_Display_Order = 'SET001_086' WHERE CardCode = 'SL1E-086';</v>
      </c>
    </row>
    <row r="88" spans="1:16" x14ac:dyDescent="0.25">
      <c r="A88" t="s">
        <v>293</v>
      </c>
      <c r="B88" t="s">
        <v>299</v>
      </c>
      <c r="C88" t="s">
        <v>142</v>
      </c>
      <c r="D88" t="s">
        <v>157</v>
      </c>
      <c r="E88" t="s">
        <v>204</v>
      </c>
      <c r="F88" s="1" t="s">
        <v>205</v>
      </c>
      <c r="G88" s="1" t="s">
        <v>206</v>
      </c>
      <c r="H88" s="1" t="s">
        <v>359</v>
      </c>
      <c r="I88" t="str">
        <f t="shared" si="3"/>
        <v>('SL1E-087','SL1E','UR','BAEK YOONHO'),</v>
      </c>
      <c r="J88" t="s">
        <v>555</v>
      </c>
      <c r="K88" s="2" t="s">
        <v>643</v>
      </c>
      <c r="L88" s="3" t="str">
        <f t="shared" si="4"/>
        <v>SET001_087</v>
      </c>
      <c r="M88" t="s">
        <v>705</v>
      </c>
      <c r="N88" t="s">
        <v>706</v>
      </c>
      <c r="O88" t="s">
        <v>707</v>
      </c>
      <c r="P88" t="str">
        <f t="shared" si="5"/>
        <v>UPDATE CardPool SET cards_Display_Order = 'SET001_087' WHERE CardCode = 'SL1E-087';</v>
      </c>
    </row>
    <row r="89" spans="1:16" x14ac:dyDescent="0.25">
      <c r="A89" t="s">
        <v>294</v>
      </c>
      <c r="B89" t="s">
        <v>299</v>
      </c>
      <c r="C89" t="s">
        <v>142</v>
      </c>
      <c r="D89" t="s">
        <v>158</v>
      </c>
      <c r="E89" t="s">
        <v>204</v>
      </c>
      <c r="F89" s="1" t="s">
        <v>205</v>
      </c>
      <c r="G89" s="1" t="s">
        <v>206</v>
      </c>
      <c r="H89" s="1" t="s">
        <v>359</v>
      </c>
      <c r="I89" t="str">
        <f t="shared" si="3"/>
        <v>('SL1E-088','SL1E','UR','CHOI JONG-IN'),</v>
      </c>
      <c r="J89" t="s">
        <v>555</v>
      </c>
      <c r="K89" s="2" t="s">
        <v>644</v>
      </c>
      <c r="L89" s="3" t="str">
        <f t="shared" si="4"/>
        <v>SET001_088</v>
      </c>
      <c r="M89" t="s">
        <v>705</v>
      </c>
      <c r="N89" t="s">
        <v>706</v>
      </c>
      <c r="O89" t="s">
        <v>707</v>
      </c>
      <c r="P89" t="str">
        <f t="shared" si="5"/>
        <v>UPDATE CardPool SET cards_Display_Order = 'SET001_088' WHERE CardCode = 'SL1E-088';</v>
      </c>
    </row>
    <row r="90" spans="1:16" x14ac:dyDescent="0.25">
      <c r="A90" t="s">
        <v>295</v>
      </c>
      <c r="B90" t="s">
        <v>299</v>
      </c>
      <c r="C90" t="s">
        <v>142</v>
      </c>
      <c r="D90" t="s">
        <v>161</v>
      </c>
      <c r="E90" t="s">
        <v>204</v>
      </c>
      <c r="F90" s="1" t="s">
        <v>205</v>
      </c>
      <c r="G90" s="1" t="s">
        <v>206</v>
      </c>
      <c r="H90" s="1" t="s">
        <v>359</v>
      </c>
      <c r="I90" t="str">
        <f t="shared" si="3"/>
        <v>('SL1E-089','SL1E','UR','GO GUNHEE'),</v>
      </c>
      <c r="J90" t="s">
        <v>555</v>
      </c>
      <c r="K90" s="2" t="s">
        <v>645</v>
      </c>
      <c r="L90" s="3" t="str">
        <f t="shared" si="4"/>
        <v>SET001_089</v>
      </c>
      <c r="M90" t="s">
        <v>705</v>
      </c>
      <c r="N90" t="s">
        <v>706</v>
      </c>
      <c r="O90" t="s">
        <v>707</v>
      </c>
      <c r="P90" t="str">
        <f t="shared" si="5"/>
        <v>UPDATE CardPool SET cards_Display_Order = 'SET001_089' WHERE CardCode = 'SL1E-089';</v>
      </c>
    </row>
    <row r="91" spans="1:16" x14ac:dyDescent="0.25">
      <c r="A91" t="s">
        <v>296</v>
      </c>
      <c r="B91" t="s">
        <v>299</v>
      </c>
      <c r="C91" t="s">
        <v>142</v>
      </c>
      <c r="D91" t="s">
        <v>160</v>
      </c>
      <c r="E91" t="s">
        <v>204</v>
      </c>
      <c r="F91" s="1" t="s">
        <v>205</v>
      </c>
      <c r="G91" s="1" t="s">
        <v>206</v>
      </c>
      <c r="H91" s="1" t="s">
        <v>359</v>
      </c>
      <c r="I91" t="str">
        <f t="shared" si="3"/>
        <v>('SL1E-090','SL1E','UR','WOO JINCHUL'),</v>
      </c>
      <c r="J91" t="s">
        <v>555</v>
      </c>
      <c r="K91" s="2" t="s">
        <v>646</v>
      </c>
      <c r="L91" s="3" t="str">
        <f t="shared" si="4"/>
        <v>SET001_090</v>
      </c>
      <c r="M91" t="s">
        <v>705</v>
      </c>
      <c r="N91" t="s">
        <v>706</v>
      </c>
      <c r="O91" t="s">
        <v>707</v>
      </c>
      <c r="P91" t="str">
        <f t="shared" si="5"/>
        <v>UPDATE CardPool SET cards_Display_Order = 'SET001_090' WHERE CardCode = 'SL1E-090';</v>
      </c>
    </row>
    <row r="92" spans="1:16" x14ac:dyDescent="0.25">
      <c r="A92" t="s">
        <v>297</v>
      </c>
      <c r="B92" t="s">
        <v>299</v>
      </c>
      <c r="C92" t="s">
        <v>144</v>
      </c>
      <c r="D92" t="s">
        <v>155</v>
      </c>
      <c r="E92" t="s">
        <v>204</v>
      </c>
      <c r="F92" s="1" t="s">
        <v>205</v>
      </c>
      <c r="G92" s="1" t="s">
        <v>206</v>
      </c>
      <c r="H92" s="1" t="s">
        <v>359</v>
      </c>
      <c r="I92" t="str">
        <f t="shared" si="3"/>
        <v>('SL1E-091','SL1E','HR','SUNG JINWOO'),</v>
      </c>
      <c r="J92" t="s">
        <v>555</v>
      </c>
      <c r="K92" s="2" t="s">
        <v>647</v>
      </c>
      <c r="L92" s="3" t="str">
        <f t="shared" si="4"/>
        <v>SET001_091</v>
      </c>
      <c r="M92" t="s">
        <v>705</v>
      </c>
      <c r="N92" t="s">
        <v>706</v>
      </c>
      <c r="O92" t="s">
        <v>707</v>
      </c>
      <c r="P92" t="str">
        <f t="shared" si="5"/>
        <v>UPDATE CardPool SET cards_Display_Order = 'SET001_091' WHERE CardCode = 'SL1E-091';</v>
      </c>
    </row>
    <row r="93" spans="1:16" x14ac:dyDescent="0.25">
      <c r="A93" t="s">
        <v>298</v>
      </c>
      <c r="B93" t="s">
        <v>299</v>
      </c>
      <c r="C93" t="s">
        <v>144</v>
      </c>
      <c r="D93" t="s">
        <v>185</v>
      </c>
      <c r="E93" t="s">
        <v>204</v>
      </c>
      <c r="F93" s="1" t="s">
        <v>205</v>
      </c>
      <c r="G93" s="1" t="s">
        <v>206</v>
      </c>
      <c r="H93" s="1" t="s">
        <v>359</v>
      </c>
      <c r="I93" t="str">
        <f t="shared" si="3"/>
        <v>('SL1E-092','SL1E','HR','IGRIS'),</v>
      </c>
      <c r="J93" t="s">
        <v>555</v>
      </c>
      <c r="K93" s="2" t="s">
        <v>648</v>
      </c>
      <c r="L93" s="3" t="str">
        <f t="shared" si="4"/>
        <v>SET001_092</v>
      </c>
      <c r="M93" t="s">
        <v>705</v>
      </c>
      <c r="N93" t="s">
        <v>706</v>
      </c>
      <c r="O93" t="s">
        <v>707</v>
      </c>
      <c r="P93" t="str">
        <f t="shared" si="5"/>
        <v>UPDATE CardPool SET cards_Display_Order = 'SET001_092' WHERE CardCode = 'SL1E-092';</v>
      </c>
    </row>
    <row r="94" spans="1:16" x14ac:dyDescent="0.25">
      <c r="A94" t="s">
        <v>300</v>
      </c>
      <c r="B94" t="s">
        <v>299</v>
      </c>
      <c r="C94" t="s">
        <v>144</v>
      </c>
      <c r="D94" t="s">
        <v>203</v>
      </c>
      <c r="E94" t="s">
        <v>204</v>
      </c>
      <c r="F94" s="1" t="s">
        <v>205</v>
      </c>
      <c r="G94" s="1" t="s">
        <v>206</v>
      </c>
      <c r="H94" s="1" t="s">
        <v>359</v>
      </c>
      <c r="I94" t="str">
        <f t="shared" si="3"/>
        <v>('SL1E-093','SL1E','HR','SOLO LEVELING'),</v>
      </c>
      <c r="J94" t="s">
        <v>555</v>
      </c>
      <c r="K94" s="2" t="s">
        <v>649</v>
      </c>
      <c r="L94" s="3" t="str">
        <f t="shared" si="4"/>
        <v>SET001_093</v>
      </c>
      <c r="M94" t="s">
        <v>705</v>
      </c>
      <c r="N94" t="s">
        <v>706</v>
      </c>
      <c r="O94" t="s">
        <v>707</v>
      </c>
      <c r="P94" t="str">
        <f t="shared" si="5"/>
        <v>UPDATE CardPool SET cards_Display_Order = 'SET001_093' WHERE CardCode = 'SL1E-093';</v>
      </c>
    </row>
    <row r="95" spans="1:16" x14ac:dyDescent="0.25">
      <c r="A95" t="s">
        <v>301</v>
      </c>
      <c r="B95" t="s">
        <v>299</v>
      </c>
      <c r="C95" t="s">
        <v>141</v>
      </c>
      <c r="D95" t="s">
        <v>155</v>
      </c>
      <c r="E95" t="s">
        <v>204</v>
      </c>
      <c r="F95" s="1" t="s">
        <v>205</v>
      </c>
      <c r="G95" s="1" t="s">
        <v>206</v>
      </c>
      <c r="H95" s="1" t="s">
        <v>359</v>
      </c>
      <c r="I95" t="str">
        <f t="shared" si="3"/>
        <v>('SL1E-070-P','SL1E','SR-P','SUNG JINWOO'),</v>
      </c>
      <c r="J95" t="s">
        <v>555</v>
      </c>
      <c r="K95" s="2" t="s">
        <v>650</v>
      </c>
      <c r="L95" s="3" t="str">
        <f t="shared" si="4"/>
        <v>SET001_094</v>
      </c>
      <c r="M95" t="s">
        <v>705</v>
      </c>
      <c r="N95" t="s">
        <v>706</v>
      </c>
      <c r="O95" t="s">
        <v>707</v>
      </c>
      <c r="P95" t="str">
        <f t="shared" si="5"/>
        <v>UPDATE CardPool SET cards_Display_Order = 'SET001_094' WHERE CardCode = 'SL1E-070-P';</v>
      </c>
    </row>
    <row r="96" spans="1:16" x14ac:dyDescent="0.25">
      <c r="A96" t="s">
        <v>302</v>
      </c>
      <c r="B96" t="s">
        <v>299</v>
      </c>
      <c r="C96" t="s">
        <v>141</v>
      </c>
      <c r="D96" t="s">
        <v>155</v>
      </c>
      <c r="E96" t="s">
        <v>204</v>
      </c>
      <c r="F96" s="1" t="s">
        <v>205</v>
      </c>
      <c r="G96" s="1" t="s">
        <v>206</v>
      </c>
      <c r="H96" s="1" t="s">
        <v>359</v>
      </c>
      <c r="I96" t="str">
        <f t="shared" si="3"/>
        <v>('SL1E-071-P','SL1E','SR-P','SUNG JINWOO'),</v>
      </c>
      <c r="J96" t="s">
        <v>555</v>
      </c>
      <c r="K96" s="2" t="s">
        <v>651</v>
      </c>
      <c r="L96" s="3" t="str">
        <f t="shared" si="4"/>
        <v>SET001_095</v>
      </c>
      <c r="M96" t="s">
        <v>705</v>
      </c>
      <c r="N96" t="s">
        <v>706</v>
      </c>
      <c r="O96" t="s">
        <v>707</v>
      </c>
      <c r="P96" t="str">
        <f t="shared" si="5"/>
        <v>UPDATE CardPool SET cards_Display_Order = 'SET001_095' WHERE CardCode = 'SL1E-071-P';</v>
      </c>
    </row>
    <row r="97" spans="1:16" x14ac:dyDescent="0.25">
      <c r="A97" t="s">
        <v>303</v>
      </c>
      <c r="B97" t="s">
        <v>299</v>
      </c>
      <c r="C97" t="s">
        <v>141</v>
      </c>
      <c r="D97" t="s">
        <v>156</v>
      </c>
      <c r="E97" t="s">
        <v>204</v>
      </c>
      <c r="F97" s="1" t="s">
        <v>205</v>
      </c>
      <c r="G97" s="1" t="s">
        <v>206</v>
      </c>
      <c r="H97" s="1" t="s">
        <v>359</v>
      </c>
      <c r="I97" t="str">
        <f t="shared" si="3"/>
        <v>('SL1E-072-P','SL1E','SR-P','YOO JINHO'),</v>
      </c>
      <c r="J97" t="s">
        <v>555</v>
      </c>
      <c r="K97" s="2" t="s">
        <v>652</v>
      </c>
      <c r="L97" s="3" t="str">
        <f t="shared" si="4"/>
        <v>SET001_096</v>
      </c>
      <c r="M97" t="s">
        <v>705</v>
      </c>
      <c r="N97" t="s">
        <v>706</v>
      </c>
      <c r="O97" t="s">
        <v>707</v>
      </c>
      <c r="P97" t="str">
        <f t="shared" si="5"/>
        <v>UPDATE CardPool SET cards_Display_Order = 'SET001_096' WHERE CardCode = 'SL1E-072-P';</v>
      </c>
    </row>
    <row r="98" spans="1:16" x14ac:dyDescent="0.25">
      <c r="A98" t="s">
        <v>304</v>
      </c>
      <c r="B98" t="s">
        <v>299</v>
      </c>
      <c r="C98" t="s">
        <v>141</v>
      </c>
      <c r="D98" t="s">
        <v>159</v>
      </c>
      <c r="E98" t="s">
        <v>204</v>
      </c>
      <c r="F98" s="1" t="s">
        <v>205</v>
      </c>
      <c r="G98" s="1" t="s">
        <v>206</v>
      </c>
      <c r="H98" s="1" t="s">
        <v>359</v>
      </c>
      <c r="I98" t="str">
        <f t="shared" si="3"/>
        <v>('SL1E-073-P','SL1E','SR-P','CHA HAE-IN'),</v>
      </c>
      <c r="J98" t="s">
        <v>555</v>
      </c>
      <c r="K98" s="2" t="s">
        <v>653</v>
      </c>
      <c r="L98" s="3" t="str">
        <f t="shared" si="4"/>
        <v>SET001_097</v>
      </c>
      <c r="M98" t="s">
        <v>705</v>
      </c>
      <c r="N98" t="s">
        <v>706</v>
      </c>
      <c r="O98" t="s">
        <v>707</v>
      </c>
      <c r="P98" t="str">
        <f t="shared" si="5"/>
        <v>UPDATE CardPool SET cards_Display_Order = 'SET001_097' WHERE CardCode = 'SL1E-073-P';</v>
      </c>
    </row>
    <row r="99" spans="1:16" x14ac:dyDescent="0.25">
      <c r="A99" t="s">
        <v>305</v>
      </c>
      <c r="B99" t="s">
        <v>299</v>
      </c>
      <c r="C99" t="s">
        <v>141</v>
      </c>
      <c r="D99" t="s">
        <v>157</v>
      </c>
      <c r="E99" t="s">
        <v>204</v>
      </c>
      <c r="F99" s="1" t="s">
        <v>205</v>
      </c>
      <c r="G99" s="1" t="s">
        <v>206</v>
      </c>
      <c r="H99" s="1" t="s">
        <v>359</v>
      </c>
      <c r="I99" t="str">
        <f t="shared" si="3"/>
        <v>('SL1E-074-P','SL1E','SR-P','BAEK YOONHO'),</v>
      </c>
      <c r="J99" t="s">
        <v>555</v>
      </c>
      <c r="K99" s="2" t="s">
        <v>654</v>
      </c>
      <c r="L99" s="3" t="str">
        <f t="shared" si="4"/>
        <v>SET001_098</v>
      </c>
      <c r="M99" t="s">
        <v>705</v>
      </c>
      <c r="N99" t="s">
        <v>706</v>
      </c>
      <c r="O99" t="s">
        <v>707</v>
      </c>
      <c r="P99" t="str">
        <f t="shared" si="5"/>
        <v>UPDATE CardPool SET cards_Display_Order = 'SET001_098' WHERE CardCode = 'SL1E-074-P';</v>
      </c>
    </row>
    <row r="100" spans="1:16" x14ac:dyDescent="0.25">
      <c r="A100" t="s">
        <v>306</v>
      </c>
      <c r="B100" t="s">
        <v>299</v>
      </c>
      <c r="C100" t="s">
        <v>141</v>
      </c>
      <c r="D100" t="s">
        <v>158</v>
      </c>
      <c r="E100" t="s">
        <v>204</v>
      </c>
      <c r="F100" s="1" t="s">
        <v>205</v>
      </c>
      <c r="G100" s="1" t="s">
        <v>206</v>
      </c>
      <c r="H100" s="1" t="s">
        <v>359</v>
      </c>
      <c r="I100" t="str">
        <f t="shared" si="3"/>
        <v>('SL1E-075-P','SL1E','SR-P','CHOI JONG-IN'),</v>
      </c>
      <c r="J100" t="s">
        <v>555</v>
      </c>
      <c r="K100" s="2" t="s">
        <v>655</v>
      </c>
      <c r="L100" s="3" t="str">
        <f t="shared" si="4"/>
        <v>SET001_099</v>
      </c>
      <c r="M100" t="s">
        <v>705</v>
      </c>
      <c r="N100" t="s">
        <v>706</v>
      </c>
      <c r="O100" t="s">
        <v>707</v>
      </c>
      <c r="P100" t="str">
        <f t="shared" si="5"/>
        <v>UPDATE CardPool SET cards_Display_Order = 'SET001_099' WHERE CardCode = 'SL1E-075-P';</v>
      </c>
    </row>
    <row r="101" spans="1:16" x14ac:dyDescent="0.25">
      <c r="A101" t="s">
        <v>307</v>
      </c>
      <c r="B101" t="s">
        <v>299</v>
      </c>
      <c r="C101" t="s">
        <v>141</v>
      </c>
      <c r="D101" t="s">
        <v>161</v>
      </c>
      <c r="E101" t="s">
        <v>204</v>
      </c>
      <c r="F101" s="1" t="s">
        <v>205</v>
      </c>
      <c r="G101" s="1" t="s">
        <v>206</v>
      </c>
      <c r="H101" s="1" t="s">
        <v>359</v>
      </c>
      <c r="I101" t="str">
        <f t="shared" si="3"/>
        <v>('SL1E-076-P','SL1E','SR-P','GO GUNHEE'),</v>
      </c>
      <c r="J101" t="s">
        <v>555</v>
      </c>
      <c r="K101" s="2" t="s">
        <v>656</v>
      </c>
      <c r="L101" s="3" t="str">
        <f t="shared" si="4"/>
        <v>SET001_100</v>
      </c>
      <c r="M101" t="s">
        <v>705</v>
      </c>
      <c r="N101" t="s">
        <v>706</v>
      </c>
      <c r="O101" t="s">
        <v>707</v>
      </c>
      <c r="P101" t="str">
        <f t="shared" si="5"/>
        <v>UPDATE CardPool SET cards_Display_Order = 'SET001_100' WHERE CardCode = 'SL1E-076-P';</v>
      </c>
    </row>
    <row r="102" spans="1:16" x14ac:dyDescent="0.25">
      <c r="A102" t="s">
        <v>308</v>
      </c>
      <c r="B102" t="s">
        <v>299</v>
      </c>
      <c r="C102" t="s">
        <v>141</v>
      </c>
      <c r="D102" t="s">
        <v>160</v>
      </c>
      <c r="E102" t="s">
        <v>204</v>
      </c>
      <c r="F102" s="1" t="s">
        <v>205</v>
      </c>
      <c r="G102" s="1" t="s">
        <v>206</v>
      </c>
      <c r="H102" s="1" t="s">
        <v>359</v>
      </c>
      <c r="I102" t="str">
        <f t="shared" si="3"/>
        <v>('SL1E-077-P','SL1E','SR-P','WOO JINCHUL'),</v>
      </c>
      <c r="J102" t="s">
        <v>555</v>
      </c>
      <c r="K102" s="2" t="s">
        <v>657</v>
      </c>
      <c r="L102" s="3" t="str">
        <f t="shared" si="4"/>
        <v>SET001_101</v>
      </c>
      <c r="M102" t="s">
        <v>705</v>
      </c>
      <c r="N102" t="s">
        <v>706</v>
      </c>
      <c r="O102" t="s">
        <v>707</v>
      </c>
      <c r="P102" t="str">
        <f t="shared" si="5"/>
        <v>UPDATE CardPool SET cards_Display_Order = 'SET001_101' WHERE CardCode = 'SL1E-077-P';</v>
      </c>
    </row>
    <row r="103" spans="1:16" x14ac:dyDescent="0.25">
      <c r="A103" t="s">
        <v>309</v>
      </c>
      <c r="B103" t="s">
        <v>299</v>
      </c>
      <c r="C103" t="s">
        <v>141</v>
      </c>
      <c r="D103" t="s">
        <v>355</v>
      </c>
      <c r="E103" t="s">
        <v>204</v>
      </c>
      <c r="F103" s="1" t="s">
        <v>205</v>
      </c>
      <c r="G103" s="1" t="s">
        <v>206</v>
      </c>
      <c r="H103" s="1" t="s">
        <v>359</v>
      </c>
      <c r="I103" t="str">
        <f t="shared" si="3"/>
        <v>('SL1E-078-P','SL1E','SR-P','SUNG JINWOO, YOO JINHO'),</v>
      </c>
      <c r="J103" t="s">
        <v>555</v>
      </c>
      <c r="K103" s="2" t="s">
        <v>658</v>
      </c>
      <c r="L103" s="3" t="str">
        <f t="shared" si="4"/>
        <v>SET001_102</v>
      </c>
      <c r="M103" t="s">
        <v>705</v>
      </c>
      <c r="N103" t="s">
        <v>706</v>
      </c>
      <c r="O103" t="s">
        <v>707</v>
      </c>
      <c r="P103" t="str">
        <f t="shared" si="5"/>
        <v>UPDATE CardPool SET cards_Display_Order = 'SET001_102' WHERE CardCode = 'SL1E-078-P';</v>
      </c>
    </row>
    <row r="104" spans="1:16" x14ac:dyDescent="0.25">
      <c r="A104" t="s">
        <v>310</v>
      </c>
      <c r="B104" t="s">
        <v>299</v>
      </c>
      <c r="C104" t="s">
        <v>141</v>
      </c>
      <c r="D104" t="s">
        <v>356</v>
      </c>
      <c r="E104" t="s">
        <v>204</v>
      </c>
      <c r="F104" s="1" t="s">
        <v>205</v>
      </c>
      <c r="G104" s="1" t="s">
        <v>206</v>
      </c>
      <c r="H104" s="1" t="s">
        <v>359</v>
      </c>
      <c r="I104" t="str">
        <f t="shared" si="3"/>
        <v>('SL1E-079-P','SL1E','SR-P','CHA HAE-IN, CHOI JONG-IN'),</v>
      </c>
      <c r="J104" t="s">
        <v>555</v>
      </c>
      <c r="K104" s="2" t="s">
        <v>659</v>
      </c>
      <c r="L104" s="3" t="str">
        <f t="shared" si="4"/>
        <v>SET001_103</v>
      </c>
      <c r="M104" t="s">
        <v>705</v>
      </c>
      <c r="N104" t="s">
        <v>706</v>
      </c>
      <c r="O104" t="s">
        <v>707</v>
      </c>
      <c r="P104" t="str">
        <f t="shared" si="5"/>
        <v>UPDATE CardPool SET cards_Display_Order = 'SET001_103' WHERE CardCode = 'SL1E-079-P';</v>
      </c>
    </row>
    <row r="105" spans="1:16" x14ac:dyDescent="0.25">
      <c r="A105" t="s">
        <v>311</v>
      </c>
      <c r="B105" t="s">
        <v>299</v>
      </c>
      <c r="C105" t="s">
        <v>141</v>
      </c>
      <c r="D105" t="s">
        <v>353</v>
      </c>
      <c r="E105" t="s">
        <v>204</v>
      </c>
      <c r="F105" s="1" t="s">
        <v>205</v>
      </c>
      <c r="G105" s="1" t="s">
        <v>206</v>
      </c>
      <c r="H105" s="1" t="s">
        <v>359</v>
      </c>
      <c r="I105" t="str">
        <f t="shared" si="3"/>
        <v>('SL1E-080-P','SL1E','SR-P','BAEK YOONHO, GO GUNHEE, WOO JINCHUL'),</v>
      </c>
      <c r="J105" t="s">
        <v>555</v>
      </c>
      <c r="K105" s="2" t="s">
        <v>660</v>
      </c>
      <c r="L105" s="3" t="str">
        <f t="shared" si="4"/>
        <v>SET001_104</v>
      </c>
      <c r="M105" t="s">
        <v>705</v>
      </c>
      <c r="N105" t="s">
        <v>706</v>
      </c>
      <c r="O105" t="s">
        <v>707</v>
      </c>
      <c r="P105" t="str">
        <f t="shared" si="5"/>
        <v>UPDATE CardPool SET cards_Display_Order = 'SET001_104' WHERE CardCode = 'SL1E-080-P';</v>
      </c>
    </row>
    <row r="106" spans="1:16" x14ac:dyDescent="0.25">
      <c r="A106" t="s">
        <v>312</v>
      </c>
      <c r="B106" t="s">
        <v>299</v>
      </c>
      <c r="C106" t="s">
        <v>141</v>
      </c>
      <c r="D106" t="s">
        <v>357</v>
      </c>
      <c r="E106" t="s">
        <v>204</v>
      </c>
      <c r="F106" s="1" t="s">
        <v>205</v>
      </c>
      <c r="G106" s="1" t="s">
        <v>206</v>
      </c>
      <c r="H106" s="1" t="s">
        <v>359</v>
      </c>
      <c r="I106" t="str">
        <f t="shared" si="3"/>
        <v>('SL1E-081-P','SL1E','SR-P','CHA HAE-IN, SUNG JINWOO'),</v>
      </c>
      <c r="J106" t="s">
        <v>555</v>
      </c>
      <c r="K106" s="2" t="s">
        <v>661</v>
      </c>
      <c r="L106" s="3" t="str">
        <f t="shared" si="4"/>
        <v>SET001_105</v>
      </c>
      <c r="M106" t="s">
        <v>705</v>
      </c>
      <c r="N106" t="s">
        <v>706</v>
      </c>
      <c r="O106" t="s">
        <v>707</v>
      </c>
      <c r="P106" t="str">
        <f t="shared" si="5"/>
        <v>UPDATE CardPool SET cards_Display_Order = 'SET001_105' WHERE CardCode = 'SL1E-081-P';</v>
      </c>
    </row>
    <row r="107" spans="1:16" x14ac:dyDescent="0.25">
      <c r="A107" t="s">
        <v>313</v>
      </c>
      <c r="B107" t="s">
        <v>299</v>
      </c>
      <c r="C107" t="s">
        <v>141</v>
      </c>
      <c r="D107" t="s">
        <v>354</v>
      </c>
      <c r="E107" t="s">
        <v>204</v>
      </c>
      <c r="F107" s="1" t="s">
        <v>205</v>
      </c>
      <c r="G107" s="1" t="s">
        <v>206</v>
      </c>
      <c r="H107" s="1" t="s">
        <v>359</v>
      </c>
      <c r="I107" t="str">
        <f t="shared" si="3"/>
        <v>('SL1E-082-P','SL1E','SR-P','GO GUNHEE, WOO JINCHUL'),</v>
      </c>
      <c r="J107" t="s">
        <v>555</v>
      </c>
      <c r="K107" s="2" t="s">
        <v>662</v>
      </c>
      <c r="L107" s="3" t="str">
        <f t="shared" si="4"/>
        <v>SET001_106</v>
      </c>
      <c r="M107" t="s">
        <v>705</v>
      </c>
      <c r="N107" t="s">
        <v>706</v>
      </c>
      <c r="O107" t="s">
        <v>707</v>
      </c>
      <c r="P107" t="str">
        <f t="shared" si="5"/>
        <v>UPDATE CardPool SET cards_Display_Order = 'SET001_106' WHERE CardCode = 'SL1E-082-P';</v>
      </c>
    </row>
    <row r="108" spans="1:16" x14ac:dyDescent="0.25">
      <c r="A108" t="s">
        <v>314</v>
      </c>
      <c r="B108" t="s">
        <v>299</v>
      </c>
      <c r="C108" t="s">
        <v>141</v>
      </c>
      <c r="D108" t="s">
        <v>358</v>
      </c>
      <c r="E108" t="s">
        <v>204</v>
      </c>
      <c r="F108" s="1" t="s">
        <v>205</v>
      </c>
      <c r="G108" s="1" t="s">
        <v>206</v>
      </c>
      <c r="H108" s="1" t="s">
        <v>359</v>
      </c>
      <c r="I108" t="str">
        <f t="shared" si="3"/>
        <v>('SL1E-083-P','SL1E','SR-P','SUNG JINWOO, YOO JINHO, CHA HAE-IN'),</v>
      </c>
      <c r="J108" t="s">
        <v>555</v>
      </c>
      <c r="K108" s="2" t="s">
        <v>663</v>
      </c>
      <c r="L108" s="3" t="str">
        <f t="shared" si="4"/>
        <v>SET001_107</v>
      </c>
      <c r="M108" t="s">
        <v>705</v>
      </c>
      <c r="N108" t="s">
        <v>706</v>
      </c>
      <c r="O108" t="s">
        <v>707</v>
      </c>
      <c r="P108" t="str">
        <f t="shared" si="5"/>
        <v>UPDATE CardPool SET cards_Display_Order = 'SET001_107' WHERE CardCode = 'SL1E-083-P';</v>
      </c>
    </row>
    <row r="109" spans="1:16" x14ac:dyDescent="0.25">
      <c r="A109" t="s">
        <v>315</v>
      </c>
      <c r="B109" t="s">
        <v>299</v>
      </c>
      <c r="C109" t="s">
        <v>143</v>
      </c>
      <c r="D109" t="s">
        <v>155</v>
      </c>
      <c r="E109" t="s">
        <v>204</v>
      </c>
      <c r="F109" s="1" t="s">
        <v>205</v>
      </c>
      <c r="G109" s="1" t="s">
        <v>206</v>
      </c>
      <c r="H109" s="1" t="s">
        <v>359</v>
      </c>
      <c r="I109" t="str">
        <f t="shared" si="3"/>
        <v>('SL1E-084-P','SL1E','UR-P','SUNG JINWOO'),</v>
      </c>
      <c r="J109" t="s">
        <v>555</v>
      </c>
      <c r="K109" s="2" t="s">
        <v>664</v>
      </c>
      <c r="L109" s="3" t="str">
        <f t="shared" si="4"/>
        <v>SET001_108</v>
      </c>
      <c r="M109" t="s">
        <v>705</v>
      </c>
      <c r="N109" t="s">
        <v>706</v>
      </c>
      <c r="O109" t="s">
        <v>707</v>
      </c>
      <c r="P109" t="str">
        <f t="shared" si="5"/>
        <v>UPDATE CardPool SET cards_Display_Order = 'SET001_108' WHERE CardCode = 'SL1E-084-P';</v>
      </c>
    </row>
    <row r="110" spans="1:16" x14ac:dyDescent="0.25">
      <c r="A110" t="s">
        <v>316</v>
      </c>
      <c r="B110" t="s">
        <v>299</v>
      </c>
      <c r="C110" t="s">
        <v>143</v>
      </c>
      <c r="D110" t="s">
        <v>156</v>
      </c>
      <c r="E110" t="s">
        <v>204</v>
      </c>
      <c r="F110" s="1" t="s">
        <v>205</v>
      </c>
      <c r="G110" s="1" t="s">
        <v>206</v>
      </c>
      <c r="H110" s="1" t="s">
        <v>359</v>
      </c>
      <c r="I110" t="str">
        <f t="shared" si="3"/>
        <v>('SL1E-085-P','SL1E','UR-P','YOO JINHO'),</v>
      </c>
      <c r="J110" t="s">
        <v>555</v>
      </c>
      <c r="K110" s="2" t="s">
        <v>665</v>
      </c>
      <c r="L110" s="3" t="str">
        <f t="shared" si="4"/>
        <v>SET001_109</v>
      </c>
      <c r="M110" t="s">
        <v>705</v>
      </c>
      <c r="N110" t="s">
        <v>706</v>
      </c>
      <c r="O110" t="s">
        <v>707</v>
      </c>
      <c r="P110" t="str">
        <f t="shared" si="5"/>
        <v>UPDATE CardPool SET cards_Display_Order = 'SET001_109' WHERE CardCode = 'SL1E-085-P';</v>
      </c>
    </row>
    <row r="111" spans="1:16" x14ac:dyDescent="0.25">
      <c r="A111" t="s">
        <v>317</v>
      </c>
      <c r="B111" t="s">
        <v>299</v>
      </c>
      <c r="C111" t="s">
        <v>143</v>
      </c>
      <c r="D111" t="s">
        <v>159</v>
      </c>
      <c r="E111" t="s">
        <v>204</v>
      </c>
      <c r="F111" s="1" t="s">
        <v>205</v>
      </c>
      <c r="G111" s="1" t="s">
        <v>206</v>
      </c>
      <c r="H111" s="1" t="s">
        <v>359</v>
      </c>
      <c r="I111" t="str">
        <f t="shared" si="3"/>
        <v>('SL1E-086-P','SL1E','UR-P','CHA HAE-IN'),</v>
      </c>
      <c r="J111" t="s">
        <v>555</v>
      </c>
      <c r="K111" s="2" t="s">
        <v>666</v>
      </c>
      <c r="L111" s="3" t="str">
        <f t="shared" si="4"/>
        <v>SET001_110</v>
      </c>
      <c r="M111" t="s">
        <v>705</v>
      </c>
      <c r="N111" t="s">
        <v>706</v>
      </c>
      <c r="O111" t="s">
        <v>707</v>
      </c>
      <c r="P111" t="str">
        <f t="shared" si="5"/>
        <v>UPDATE CardPool SET cards_Display_Order = 'SET001_110' WHERE CardCode = 'SL1E-086-P';</v>
      </c>
    </row>
    <row r="112" spans="1:16" x14ac:dyDescent="0.25">
      <c r="A112" t="s">
        <v>318</v>
      </c>
      <c r="B112" t="s">
        <v>299</v>
      </c>
      <c r="C112" t="s">
        <v>143</v>
      </c>
      <c r="D112" t="s">
        <v>157</v>
      </c>
      <c r="E112" t="s">
        <v>204</v>
      </c>
      <c r="F112" s="1" t="s">
        <v>205</v>
      </c>
      <c r="G112" s="1" t="s">
        <v>206</v>
      </c>
      <c r="H112" s="1" t="s">
        <v>359</v>
      </c>
      <c r="I112" t="str">
        <f t="shared" si="3"/>
        <v>('SL1E-087-P','SL1E','UR-P','BAEK YOONHO'),</v>
      </c>
      <c r="J112" t="s">
        <v>555</v>
      </c>
      <c r="K112" s="2" t="s">
        <v>667</v>
      </c>
      <c r="L112" s="3" t="str">
        <f t="shared" si="4"/>
        <v>SET001_111</v>
      </c>
      <c r="M112" t="s">
        <v>705</v>
      </c>
      <c r="N112" t="s">
        <v>706</v>
      </c>
      <c r="O112" t="s">
        <v>707</v>
      </c>
      <c r="P112" t="str">
        <f t="shared" si="5"/>
        <v>UPDATE CardPool SET cards_Display_Order = 'SET001_111' WHERE CardCode = 'SL1E-087-P';</v>
      </c>
    </row>
    <row r="113" spans="1:16" x14ac:dyDescent="0.25">
      <c r="A113" t="s">
        <v>319</v>
      </c>
      <c r="B113" t="s">
        <v>299</v>
      </c>
      <c r="C113" t="s">
        <v>143</v>
      </c>
      <c r="D113" t="s">
        <v>158</v>
      </c>
      <c r="E113" t="s">
        <v>204</v>
      </c>
      <c r="F113" s="1" t="s">
        <v>205</v>
      </c>
      <c r="G113" s="1" t="s">
        <v>206</v>
      </c>
      <c r="H113" s="1" t="s">
        <v>359</v>
      </c>
      <c r="I113" t="str">
        <f t="shared" si="3"/>
        <v>('SL1E-088-P','SL1E','UR-P','CHOI JONG-IN'),</v>
      </c>
      <c r="J113" t="s">
        <v>555</v>
      </c>
      <c r="K113" s="2" t="s">
        <v>668</v>
      </c>
      <c r="L113" s="3" t="str">
        <f t="shared" si="4"/>
        <v>SET001_112</v>
      </c>
      <c r="M113" t="s">
        <v>705</v>
      </c>
      <c r="N113" t="s">
        <v>706</v>
      </c>
      <c r="O113" t="s">
        <v>707</v>
      </c>
      <c r="P113" t="str">
        <f t="shared" si="5"/>
        <v>UPDATE CardPool SET cards_Display_Order = 'SET001_112' WHERE CardCode = 'SL1E-088-P';</v>
      </c>
    </row>
    <row r="114" spans="1:16" x14ac:dyDescent="0.25">
      <c r="A114" t="s">
        <v>320</v>
      </c>
      <c r="B114" t="s">
        <v>299</v>
      </c>
      <c r="C114" t="s">
        <v>143</v>
      </c>
      <c r="D114" t="s">
        <v>161</v>
      </c>
      <c r="E114" t="s">
        <v>204</v>
      </c>
      <c r="F114" s="1" t="s">
        <v>205</v>
      </c>
      <c r="G114" s="1" t="s">
        <v>206</v>
      </c>
      <c r="H114" s="1" t="s">
        <v>359</v>
      </c>
      <c r="I114" t="str">
        <f t="shared" si="3"/>
        <v>('SL1E-089-P','SL1E','UR-P','GO GUNHEE'),</v>
      </c>
      <c r="J114" t="s">
        <v>555</v>
      </c>
      <c r="K114" s="2" t="s">
        <v>669</v>
      </c>
      <c r="L114" s="3" t="str">
        <f t="shared" si="4"/>
        <v>SET001_113</v>
      </c>
      <c r="M114" t="s">
        <v>705</v>
      </c>
      <c r="N114" t="s">
        <v>706</v>
      </c>
      <c r="O114" t="s">
        <v>707</v>
      </c>
      <c r="P114" t="str">
        <f t="shared" si="5"/>
        <v>UPDATE CardPool SET cards_Display_Order = 'SET001_113' WHERE CardCode = 'SL1E-089-P';</v>
      </c>
    </row>
    <row r="115" spans="1:16" x14ac:dyDescent="0.25">
      <c r="A115" t="s">
        <v>321</v>
      </c>
      <c r="B115" t="s">
        <v>299</v>
      </c>
      <c r="C115" t="s">
        <v>143</v>
      </c>
      <c r="D115" t="s">
        <v>160</v>
      </c>
      <c r="E115" t="s">
        <v>204</v>
      </c>
      <c r="F115" s="1" t="s">
        <v>205</v>
      </c>
      <c r="G115" s="1" t="s">
        <v>206</v>
      </c>
      <c r="H115" s="1" t="s">
        <v>359</v>
      </c>
      <c r="I115" t="str">
        <f t="shared" si="3"/>
        <v>('SL1E-090-P','SL1E','UR-P','WOO JINCHUL'),</v>
      </c>
      <c r="J115" t="s">
        <v>555</v>
      </c>
      <c r="K115" s="2" t="s">
        <v>670</v>
      </c>
      <c r="L115" s="3" t="str">
        <f t="shared" si="4"/>
        <v>SET001_114</v>
      </c>
      <c r="M115" t="s">
        <v>705</v>
      </c>
      <c r="N115" t="s">
        <v>706</v>
      </c>
      <c r="O115" t="s">
        <v>707</v>
      </c>
      <c r="P115" t="str">
        <f t="shared" si="5"/>
        <v>UPDATE CardPool SET cards_Display_Order = 'SET001_114' WHERE CardCode = 'SL1E-090-P';</v>
      </c>
    </row>
    <row r="116" spans="1:16" x14ac:dyDescent="0.25">
      <c r="A116" t="s">
        <v>322</v>
      </c>
      <c r="B116" t="s">
        <v>299</v>
      </c>
      <c r="C116" t="s">
        <v>145</v>
      </c>
      <c r="D116" t="s">
        <v>155</v>
      </c>
      <c r="E116" t="s">
        <v>204</v>
      </c>
      <c r="F116" s="1" t="s">
        <v>205</v>
      </c>
      <c r="G116" s="1" t="s">
        <v>206</v>
      </c>
      <c r="H116" s="1" t="s">
        <v>359</v>
      </c>
      <c r="I116" t="str">
        <f t="shared" si="3"/>
        <v>('SL1E-091-P','SL1E','HR-P','SUNG JINWOO'),</v>
      </c>
      <c r="J116" t="s">
        <v>555</v>
      </c>
      <c r="K116" s="2" t="s">
        <v>671</v>
      </c>
      <c r="L116" s="3" t="str">
        <f t="shared" si="4"/>
        <v>SET001_115</v>
      </c>
      <c r="M116" t="s">
        <v>705</v>
      </c>
      <c r="N116" t="s">
        <v>706</v>
      </c>
      <c r="O116" t="s">
        <v>707</v>
      </c>
      <c r="P116" t="str">
        <f t="shared" si="5"/>
        <v>UPDATE CardPool SET cards_Display_Order = 'SET001_115' WHERE CardCode = 'SL1E-091-P';</v>
      </c>
    </row>
    <row r="117" spans="1:16" x14ac:dyDescent="0.25">
      <c r="A117" t="s">
        <v>323</v>
      </c>
      <c r="B117" t="s">
        <v>299</v>
      </c>
      <c r="C117" t="s">
        <v>145</v>
      </c>
      <c r="D117" t="s">
        <v>185</v>
      </c>
      <c r="E117" t="s">
        <v>204</v>
      </c>
      <c r="F117" s="1" t="s">
        <v>205</v>
      </c>
      <c r="G117" s="1" t="s">
        <v>206</v>
      </c>
      <c r="H117" s="1" t="s">
        <v>359</v>
      </c>
      <c r="I117" t="str">
        <f t="shared" si="3"/>
        <v>('SL1E-092-P','SL1E','HR-P','IGRIS'),</v>
      </c>
      <c r="J117" t="s">
        <v>555</v>
      </c>
      <c r="K117" s="2" t="s">
        <v>672</v>
      </c>
      <c r="L117" s="3" t="str">
        <f t="shared" si="4"/>
        <v>SET001_116</v>
      </c>
      <c r="M117" t="s">
        <v>705</v>
      </c>
      <c r="N117" t="s">
        <v>706</v>
      </c>
      <c r="O117" t="s">
        <v>707</v>
      </c>
      <c r="P117" t="str">
        <f t="shared" si="5"/>
        <v>UPDATE CardPool SET cards_Display_Order = 'SET001_116' WHERE CardCode = 'SL1E-092-P';</v>
      </c>
    </row>
    <row r="118" spans="1:16" x14ac:dyDescent="0.25">
      <c r="A118" t="s">
        <v>324</v>
      </c>
      <c r="B118" t="s">
        <v>299</v>
      </c>
      <c r="C118" t="s">
        <v>145</v>
      </c>
      <c r="D118" t="s">
        <v>203</v>
      </c>
      <c r="E118" t="s">
        <v>204</v>
      </c>
      <c r="F118" s="1" t="s">
        <v>205</v>
      </c>
      <c r="G118" s="1" t="s">
        <v>206</v>
      </c>
      <c r="H118" s="1" t="s">
        <v>359</v>
      </c>
      <c r="I118" t="str">
        <f t="shared" si="3"/>
        <v>('SL1E-093-P','SL1E','HR-P','SOLO LEVELING'),</v>
      </c>
      <c r="J118" t="s">
        <v>555</v>
      </c>
      <c r="K118" s="2" t="s">
        <v>673</v>
      </c>
      <c r="L118" s="3" t="str">
        <f t="shared" si="4"/>
        <v>SET001_117</v>
      </c>
      <c r="M118" t="s">
        <v>705</v>
      </c>
      <c r="N118" t="s">
        <v>706</v>
      </c>
      <c r="O118" t="s">
        <v>707</v>
      </c>
      <c r="P118" t="str">
        <f t="shared" si="5"/>
        <v>UPDATE CardPool SET cards_Display_Order = 'SET001_117' WHERE CardCode = 'SL1E-093-P';</v>
      </c>
    </row>
    <row r="119" spans="1:16" x14ac:dyDescent="0.25">
      <c r="A119" t="s">
        <v>325</v>
      </c>
      <c r="B119" t="s">
        <v>299</v>
      </c>
      <c r="C119" t="s">
        <v>146</v>
      </c>
      <c r="D119" t="s">
        <v>155</v>
      </c>
      <c r="E119" t="s">
        <v>204</v>
      </c>
      <c r="F119" s="1" t="s">
        <v>205</v>
      </c>
      <c r="G119" s="1" t="s">
        <v>206</v>
      </c>
      <c r="H119" s="1" t="s">
        <v>359</v>
      </c>
      <c r="I119" t="str">
        <f t="shared" si="3"/>
        <v>('SL1E-091-SP','SL1E','HR-SP','SUNG JINWOO'),</v>
      </c>
      <c r="J119" t="s">
        <v>555</v>
      </c>
      <c r="K119" s="2" t="s">
        <v>674</v>
      </c>
      <c r="L119" s="3" t="str">
        <f t="shared" si="4"/>
        <v>SET001_118</v>
      </c>
      <c r="M119" t="s">
        <v>705</v>
      </c>
      <c r="N119" t="s">
        <v>706</v>
      </c>
      <c r="O119" t="s">
        <v>707</v>
      </c>
      <c r="P119" t="str">
        <f t="shared" si="5"/>
        <v>UPDATE CardPool SET cards_Display_Order = 'SET001_118' WHERE CardCode = 'SL1E-091-SP';</v>
      </c>
    </row>
    <row r="120" spans="1:16" x14ac:dyDescent="0.25">
      <c r="A120" t="s">
        <v>326</v>
      </c>
      <c r="B120" t="s">
        <v>299</v>
      </c>
      <c r="C120" t="s">
        <v>146</v>
      </c>
      <c r="D120" t="s">
        <v>185</v>
      </c>
      <c r="E120" t="s">
        <v>204</v>
      </c>
      <c r="F120" s="1" t="s">
        <v>205</v>
      </c>
      <c r="G120" s="1" t="s">
        <v>206</v>
      </c>
      <c r="H120" s="1" t="s">
        <v>359</v>
      </c>
      <c r="I120" t="str">
        <f t="shared" si="3"/>
        <v>('SL1E-092-SP','SL1E','HR-SP','IGRIS'),</v>
      </c>
      <c r="J120" t="s">
        <v>555</v>
      </c>
      <c r="K120" s="2" t="s">
        <v>675</v>
      </c>
      <c r="L120" s="3" t="str">
        <f t="shared" si="4"/>
        <v>SET001_119</v>
      </c>
      <c r="M120" t="s">
        <v>705</v>
      </c>
      <c r="N120" t="s">
        <v>706</v>
      </c>
      <c r="O120" t="s">
        <v>707</v>
      </c>
      <c r="P120" t="str">
        <f t="shared" si="5"/>
        <v>UPDATE CardPool SET cards_Display_Order = 'SET001_119' WHERE CardCode = 'SL1E-092-SP';</v>
      </c>
    </row>
    <row r="121" spans="1:16" x14ac:dyDescent="0.25">
      <c r="A121" t="s">
        <v>327</v>
      </c>
      <c r="B121" t="s">
        <v>299</v>
      </c>
      <c r="C121" t="s">
        <v>146</v>
      </c>
      <c r="D121" t="s">
        <v>203</v>
      </c>
      <c r="E121" t="s">
        <v>204</v>
      </c>
      <c r="F121" s="1" t="s">
        <v>205</v>
      </c>
      <c r="G121" s="1" t="s">
        <v>206</v>
      </c>
      <c r="H121" s="1" t="s">
        <v>359</v>
      </c>
      <c r="I121" t="str">
        <f t="shared" si="3"/>
        <v>('SL1E-093-SP','SL1E','HR-SP','SOLO LEVELING'),</v>
      </c>
      <c r="J121" t="s">
        <v>555</v>
      </c>
      <c r="K121" s="2" t="s">
        <v>676</v>
      </c>
      <c r="L121" s="3" t="str">
        <f t="shared" si="4"/>
        <v>SET001_120</v>
      </c>
      <c r="M121" t="s">
        <v>705</v>
      </c>
      <c r="N121" t="s">
        <v>706</v>
      </c>
      <c r="O121" t="s">
        <v>707</v>
      </c>
      <c r="P121" t="str">
        <f t="shared" si="5"/>
        <v>UPDATE CardPool SET cards_Display_Order = 'SET001_120' WHERE CardCode = 'SL1E-093-SP';</v>
      </c>
    </row>
    <row r="122" spans="1:16" x14ac:dyDescent="0.25">
      <c r="A122" t="s">
        <v>709</v>
      </c>
      <c r="B122" t="s">
        <v>299</v>
      </c>
      <c r="C122" t="s">
        <v>147</v>
      </c>
      <c r="D122" t="s">
        <v>161</v>
      </c>
      <c r="E122" t="s">
        <v>204</v>
      </c>
      <c r="F122" s="1" t="s">
        <v>205</v>
      </c>
      <c r="G122" s="1" t="s">
        <v>206</v>
      </c>
      <c r="H122" s="1" t="s">
        <v>359</v>
      </c>
      <c r="I122" t="str">
        <f t="shared" si="3"/>
        <v>('SL1E-PM 01','SL1E','PM','GO GUNHEE'),</v>
      </c>
      <c r="J122" t="s">
        <v>555</v>
      </c>
      <c r="K122" s="2" t="s">
        <v>677</v>
      </c>
      <c r="L122" s="3" t="str">
        <f t="shared" si="4"/>
        <v>SET001_121</v>
      </c>
      <c r="M122" t="s">
        <v>705</v>
      </c>
      <c r="N122" t="s">
        <v>706</v>
      </c>
      <c r="O122" t="s">
        <v>707</v>
      </c>
      <c r="P122" t="str">
        <f t="shared" si="5"/>
        <v>UPDATE CardPool SET cards_Display_Order = 'SET001_121' WHERE CardCode = 'SL1E-PM 01';</v>
      </c>
    </row>
    <row r="123" spans="1:16" x14ac:dyDescent="0.25">
      <c r="A123" t="s">
        <v>710</v>
      </c>
      <c r="B123" t="s">
        <v>299</v>
      </c>
      <c r="C123" t="s">
        <v>147</v>
      </c>
      <c r="D123" t="s">
        <v>157</v>
      </c>
      <c r="E123" t="s">
        <v>204</v>
      </c>
      <c r="F123" s="1" t="s">
        <v>205</v>
      </c>
      <c r="G123" s="1" t="s">
        <v>206</v>
      </c>
      <c r="H123" s="1" t="s">
        <v>359</v>
      </c>
      <c r="I123" t="str">
        <f t="shared" si="3"/>
        <v>('SL1E-PM 02','SL1E','PM','BAEK YOONHO'),</v>
      </c>
      <c r="J123" t="s">
        <v>555</v>
      </c>
      <c r="K123" s="2" t="s">
        <v>678</v>
      </c>
      <c r="L123" s="3" t="str">
        <f t="shared" si="4"/>
        <v>SET001_122</v>
      </c>
      <c r="M123" t="s">
        <v>705</v>
      </c>
      <c r="N123" t="s">
        <v>706</v>
      </c>
      <c r="O123" t="s">
        <v>707</v>
      </c>
      <c r="P123" t="str">
        <f t="shared" si="5"/>
        <v>UPDATE CardPool SET cards_Display_Order = 'SET001_122' WHERE CardCode = 'SL1E-PM 02';</v>
      </c>
    </row>
    <row r="124" spans="1:16" x14ac:dyDescent="0.25">
      <c r="A124" t="s">
        <v>711</v>
      </c>
      <c r="B124" t="s">
        <v>299</v>
      </c>
      <c r="C124" t="s">
        <v>147</v>
      </c>
      <c r="D124" t="s">
        <v>155</v>
      </c>
      <c r="E124" t="s">
        <v>204</v>
      </c>
      <c r="F124" s="1" t="s">
        <v>205</v>
      </c>
      <c r="G124" s="1" t="s">
        <v>206</v>
      </c>
      <c r="H124" s="1" t="s">
        <v>359</v>
      </c>
      <c r="I124" t="str">
        <f t="shared" si="3"/>
        <v>('SL1E-PM 03','SL1E','PM','SUNG JINWOO'),</v>
      </c>
      <c r="J124" t="s">
        <v>555</v>
      </c>
      <c r="K124" s="2" t="s">
        <v>679</v>
      </c>
      <c r="L124" s="3" t="str">
        <f t="shared" si="4"/>
        <v>SET001_123</v>
      </c>
      <c r="M124" t="s">
        <v>705</v>
      </c>
      <c r="N124" t="s">
        <v>706</v>
      </c>
      <c r="O124" t="s">
        <v>707</v>
      </c>
      <c r="P124" t="str">
        <f t="shared" si="5"/>
        <v>UPDATE CardPool SET cards_Display_Order = 'SET001_123' WHERE CardCode = 'SL1E-PM 03';</v>
      </c>
    </row>
    <row r="125" spans="1:16" x14ac:dyDescent="0.25">
      <c r="A125" t="s">
        <v>712</v>
      </c>
      <c r="B125" t="s">
        <v>299</v>
      </c>
      <c r="C125" t="s">
        <v>147</v>
      </c>
      <c r="D125" t="s">
        <v>155</v>
      </c>
      <c r="E125" t="s">
        <v>204</v>
      </c>
      <c r="F125" s="1" t="s">
        <v>205</v>
      </c>
      <c r="G125" s="1" t="s">
        <v>206</v>
      </c>
      <c r="H125" s="1" t="s">
        <v>359</v>
      </c>
      <c r="I125" t="str">
        <f t="shared" si="3"/>
        <v>('SL1E-PM 04','SL1E','PM','SUNG JINWOO'),</v>
      </c>
      <c r="J125" t="s">
        <v>555</v>
      </c>
      <c r="K125" s="2" t="s">
        <v>680</v>
      </c>
      <c r="L125" s="3" t="str">
        <f t="shared" si="4"/>
        <v>SET001_124</v>
      </c>
      <c r="M125" t="s">
        <v>705</v>
      </c>
      <c r="N125" t="s">
        <v>706</v>
      </c>
      <c r="O125" t="s">
        <v>707</v>
      </c>
      <c r="P125" t="str">
        <f t="shared" si="5"/>
        <v>UPDATE CardPool SET cards_Display_Order = 'SET001_124' WHERE CardCode = 'SL1E-PM 04';</v>
      </c>
    </row>
    <row r="126" spans="1:16" x14ac:dyDescent="0.25">
      <c r="A126" t="s">
        <v>713</v>
      </c>
      <c r="B126" t="s">
        <v>299</v>
      </c>
      <c r="C126" t="s">
        <v>147</v>
      </c>
      <c r="D126" t="s">
        <v>155</v>
      </c>
      <c r="E126" t="s">
        <v>204</v>
      </c>
      <c r="F126" s="1" t="s">
        <v>205</v>
      </c>
      <c r="G126" s="1" t="s">
        <v>206</v>
      </c>
      <c r="H126" s="1" t="s">
        <v>359</v>
      </c>
      <c r="I126" t="str">
        <f t="shared" si="3"/>
        <v>('SL1E-PM 05','SL1E','PM','SUNG JINWOO'),</v>
      </c>
      <c r="J126" t="s">
        <v>555</v>
      </c>
      <c r="K126" s="2" t="s">
        <v>681</v>
      </c>
      <c r="L126" s="3" t="str">
        <f t="shared" si="4"/>
        <v>SET001_125</v>
      </c>
      <c r="M126" t="s">
        <v>705</v>
      </c>
      <c r="N126" t="s">
        <v>706</v>
      </c>
      <c r="O126" t="s">
        <v>707</v>
      </c>
      <c r="P126" t="str">
        <f t="shared" si="5"/>
        <v>UPDATE CardPool SET cards_Display_Order = 'SET001_125' WHERE CardCode = 'SL1E-PM 05';</v>
      </c>
    </row>
    <row r="127" spans="1:16" x14ac:dyDescent="0.25">
      <c r="A127" t="s">
        <v>714</v>
      </c>
      <c r="B127" t="s">
        <v>299</v>
      </c>
      <c r="C127" t="s">
        <v>147</v>
      </c>
      <c r="D127" t="s">
        <v>160</v>
      </c>
      <c r="E127" t="s">
        <v>204</v>
      </c>
      <c r="F127" s="1" t="s">
        <v>205</v>
      </c>
      <c r="G127" s="1" t="s">
        <v>206</v>
      </c>
      <c r="H127" s="1" t="s">
        <v>359</v>
      </c>
      <c r="I127" t="str">
        <f t="shared" si="3"/>
        <v>('SL1E-PM 06','SL1E','PM','WOO JINCHUL'),</v>
      </c>
      <c r="J127" t="s">
        <v>555</v>
      </c>
      <c r="K127" s="2" t="s">
        <v>682</v>
      </c>
      <c r="L127" s="3" t="str">
        <f t="shared" si="4"/>
        <v>SET001_126</v>
      </c>
      <c r="M127" t="s">
        <v>705</v>
      </c>
      <c r="N127" t="s">
        <v>706</v>
      </c>
      <c r="O127" t="s">
        <v>707</v>
      </c>
      <c r="P127" t="str">
        <f t="shared" si="5"/>
        <v>UPDATE CardPool SET cards_Display_Order = 'SET001_126' WHERE CardCode = 'SL1E-PM 06';</v>
      </c>
    </row>
    <row r="128" spans="1:16" x14ac:dyDescent="0.25">
      <c r="A128" t="s">
        <v>715</v>
      </c>
      <c r="B128" t="s">
        <v>299</v>
      </c>
      <c r="C128" t="s">
        <v>147</v>
      </c>
      <c r="D128" t="s">
        <v>156</v>
      </c>
      <c r="E128" t="s">
        <v>204</v>
      </c>
      <c r="F128" s="1" t="s">
        <v>205</v>
      </c>
      <c r="G128" s="1" t="s">
        <v>206</v>
      </c>
      <c r="H128" s="1" t="s">
        <v>359</v>
      </c>
      <c r="I128" t="str">
        <f t="shared" si="3"/>
        <v>('SL1E-PM 07','SL1E','PM','YOO JINHO'),</v>
      </c>
      <c r="J128" t="s">
        <v>555</v>
      </c>
      <c r="K128" s="2" t="s">
        <v>683</v>
      </c>
      <c r="L128" s="3" t="str">
        <f t="shared" si="4"/>
        <v>SET001_127</v>
      </c>
      <c r="M128" t="s">
        <v>705</v>
      </c>
      <c r="N128" t="s">
        <v>706</v>
      </c>
      <c r="O128" t="s">
        <v>707</v>
      </c>
      <c r="P128" t="str">
        <f t="shared" si="5"/>
        <v>UPDATE CardPool SET cards_Display_Order = 'SET001_127' WHERE CardCode = 'SL1E-PM 07';</v>
      </c>
    </row>
    <row r="129" spans="1:16" x14ac:dyDescent="0.25">
      <c r="A129" t="s">
        <v>716</v>
      </c>
      <c r="B129" t="s">
        <v>299</v>
      </c>
      <c r="C129" t="s">
        <v>147</v>
      </c>
      <c r="D129" t="s">
        <v>159</v>
      </c>
      <c r="E129" t="s">
        <v>204</v>
      </c>
      <c r="F129" s="1" t="s">
        <v>205</v>
      </c>
      <c r="G129" s="1" t="s">
        <v>206</v>
      </c>
      <c r="H129" s="1" t="s">
        <v>359</v>
      </c>
      <c r="I129" t="str">
        <f t="shared" si="3"/>
        <v>('SL1E-PM 08','SL1E','PM','CHA HAE-IN'),</v>
      </c>
      <c r="J129" t="s">
        <v>555</v>
      </c>
      <c r="K129" s="2" t="s">
        <v>684</v>
      </c>
      <c r="L129" s="3" t="str">
        <f t="shared" si="4"/>
        <v>SET001_128</v>
      </c>
      <c r="M129" t="s">
        <v>705</v>
      </c>
      <c r="N129" t="s">
        <v>706</v>
      </c>
      <c r="O129" t="s">
        <v>707</v>
      </c>
      <c r="P129" t="str">
        <f t="shared" si="5"/>
        <v>UPDATE CardPool SET cards_Display_Order = 'SET001_128' WHERE CardCode = 'SL1E-PM 08';</v>
      </c>
    </row>
    <row r="130" spans="1:16" x14ac:dyDescent="0.25">
      <c r="A130" t="s">
        <v>717</v>
      </c>
      <c r="B130" t="s">
        <v>299</v>
      </c>
      <c r="C130" t="s">
        <v>147</v>
      </c>
      <c r="D130" t="s">
        <v>158</v>
      </c>
      <c r="E130" t="s">
        <v>204</v>
      </c>
      <c r="F130" s="1" t="s">
        <v>205</v>
      </c>
      <c r="G130" s="1" t="s">
        <v>206</v>
      </c>
      <c r="H130" s="1" t="s">
        <v>359</v>
      </c>
      <c r="I130" t="str">
        <f t="shared" si="3"/>
        <v>('SL1E-PM 09','SL1E','PM','CHOI JONG-IN'),</v>
      </c>
      <c r="J130" t="s">
        <v>555</v>
      </c>
      <c r="K130" s="2" t="s">
        <v>685</v>
      </c>
      <c r="L130" s="3" t="str">
        <f t="shared" si="4"/>
        <v>SET001_129</v>
      </c>
      <c r="M130" t="s">
        <v>705</v>
      </c>
      <c r="N130" t="s">
        <v>706</v>
      </c>
      <c r="O130" t="s">
        <v>707</v>
      </c>
      <c r="P130" t="str">
        <f t="shared" si="5"/>
        <v>UPDATE CardPool SET cards_Display_Order = 'SET001_129' WHERE CardCode = 'SL1E-PM 09';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F2B1-6E87-41E6-869C-A5B15DAAB260}">
  <dimension ref="A1:P135"/>
  <sheetViews>
    <sheetView topLeftCell="A101" workbookViewId="0">
      <selection activeCell="A121" sqref="A121"/>
    </sheetView>
  </sheetViews>
  <sheetFormatPr defaultRowHeight="15" x14ac:dyDescent="0.25"/>
  <cols>
    <col min="1" max="1" width="18.7109375" bestFit="1" customWidth="1"/>
    <col min="4" max="4" width="33.85546875" customWidth="1"/>
    <col min="9" max="9" width="33.85546875" bestFit="1" customWidth="1"/>
    <col min="10" max="10" width="7" bestFit="1" customWidth="1"/>
    <col min="11" max="11" width="14" style="2" customWidth="1"/>
    <col min="12" max="12" width="11" style="3" bestFit="1" customWidth="1"/>
  </cols>
  <sheetData>
    <row r="1" spans="1:16" x14ac:dyDescent="0.25">
      <c r="A1" t="s">
        <v>3</v>
      </c>
      <c r="B1" t="s">
        <v>0</v>
      </c>
      <c r="C1" t="s">
        <v>1</v>
      </c>
      <c r="D1" t="s">
        <v>2</v>
      </c>
      <c r="J1" t="s">
        <v>554</v>
      </c>
      <c r="K1" s="2" t="s">
        <v>553</v>
      </c>
    </row>
    <row r="2" spans="1:16" x14ac:dyDescent="0.25">
      <c r="A2" t="s">
        <v>4</v>
      </c>
      <c r="B2" t="s">
        <v>137</v>
      </c>
      <c r="C2" t="s">
        <v>138</v>
      </c>
      <c r="D2" t="s">
        <v>155</v>
      </c>
      <c r="E2" t="s">
        <v>204</v>
      </c>
      <c r="F2" s="1" t="s">
        <v>205</v>
      </c>
      <c r="G2" s="1" t="s">
        <v>206</v>
      </c>
      <c r="H2" s="1" t="s">
        <v>359</v>
      </c>
      <c r="I2" t="str">
        <f>CONCATENATE(E2,A2,F2,B2,F2,C2,F2,D2,G2,H2)</f>
        <v>('SL2E-001','SL2E','C','SUNG JINWOO'),</v>
      </c>
      <c r="J2" t="s">
        <v>708</v>
      </c>
      <c r="K2" s="2" t="s">
        <v>557</v>
      </c>
      <c r="L2" s="3" t="str">
        <f>_xlfn.CONCAT(J2,"_",K2)</f>
        <v>SET002_001</v>
      </c>
      <c r="M2" t="s">
        <v>705</v>
      </c>
      <c r="N2" t="s">
        <v>706</v>
      </c>
      <c r="O2" t="s">
        <v>707</v>
      </c>
      <c r="P2" t="str">
        <f>_xlfn.CONCAT(M2,L2,N2,A2,O2)</f>
        <v>UPDATE CardPool SET cards_Display_Order = 'SET002_001' WHERE CardCode = 'SL2E-001';</v>
      </c>
    </row>
    <row r="3" spans="1:16" x14ac:dyDescent="0.25">
      <c r="A3" t="s">
        <v>5</v>
      </c>
      <c r="B3" t="s">
        <v>137</v>
      </c>
      <c r="C3" t="s">
        <v>138</v>
      </c>
      <c r="D3" t="s">
        <v>156</v>
      </c>
      <c r="E3" t="s">
        <v>204</v>
      </c>
      <c r="F3" s="1" t="s">
        <v>205</v>
      </c>
      <c r="G3" s="1" t="s">
        <v>206</v>
      </c>
      <c r="H3" s="1" t="s">
        <v>359</v>
      </c>
      <c r="I3" t="str">
        <f t="shared" ref="I3:I66" si="0">CONCATENATE(E3,A3,F3,B3,F3,C3,F3,D3,G3,H3)</f>
        <v>('SL2E-002','SL2E','C','YOO JINHO'),</v>
      </c>
      <c r="J3" t="s">
        <v>708</v>
      </c>
      <c r="K3" s="2" t="s">
        <v>558</v>
      </c>
      <c r="L3" s="3" t="str">
        <f t="shared" ref="L3:L66" si="1">_xlfn.CONCAT(J3,"_",K3)</f>
        <v>SET002_002</v>
      </c>
      <c r="M3" t="s">
        <v>705</v>
      </c>
      <c r="N3" t="s">
        <v>706</v>
      </c>
      <c r="O3" t="s">
        <v>707</v>
      </c>
      <c r="P3" t="str">
        <f t="shared" ref="P3:P66" si="2">_xlfn.CONCAT(M3,L3,N3,A3,O3)</f>
        <v>UPDATE CardPool SET cards_Display_Order = 'SET002_002' WHERE CardCode = 'SL2E-002';</v>
      </c>
    </row>
    <row r="4" spans="1:16" x14ac:dyDescent="0.25">
      <c r="A4" t="s">
        <v>6</v>
      </c>
      <c r="B4" t="s">
        <v>137</v>
      </c>
      <c r="C4" t="s">
        <v>138</v>
      </c>
      <c r="D4" t="s">
        <v>157</v>
      </c>
      <c r="E4" t="s">
        <v>204</v>
      </c>
      <c r="F4" s="1" t="s">
        <v>205</v>
      </c>
      <c r="G4" s="1" t="s">
        <v>206</v>
      </c>
      <c r="H4" s="1" t="s">
        <v>359</v>
      </c>
      <c r="I4" t="str">
        <f t="shared" si="0"/>
        <v>('SL2E-003','SL2E','C','BAEK YOONHO'),</v>
      </c>
      <c r="J4" t="s">
        <v>708</v>
      </c>
      <c r="K4" s="2" t="s">
        <v>559</v>
      </c>
      <c r="L4" s="3" t="str">
        <f t="shared" si="1"/>
        <v>SET002_003</v>
      </c>
      <c r="M4" t="s">
        <v>705</v>
      </c>
      <c r="N4" t="s">
        <v>706</v>
      </c>
      <c r="O4" t="s">
        <v>707</v>
      </c>
      <c r="P4" t="str">
        <f t="shared" si="2"/>
        <v>UPDATE CardPool SET cards_Display_Order = 'SET002_003' WHERE CardCode = 'SL2E-003';</v>
      </c>
    </row>
    <row r="5" spans="1:16" x14ac:dyDescent="0.25">
      <c r="A5" t="s">
        <v>7</v>
      </c>
      <c r="B5" t="s">
        <v>137</v>
      </c>
      <c r="C5" t="s">
        <v>138</v>
      </c>
      <c r="D5" t="s">
        <v>158</v>
      </c>
      <c r="E5" t="s">
        <v>204</v>
      </c>
      <c r="F5" s="1" t="s">
        <v>205</v>
      </c>
      <c r="G5" s="1" t="s">
        <v>206</v>
      </c>
      <c r="H5" s="1" t="s">
        <v>359</v>
      </c>
      <c r="I5" t="str">
        <f t="shared" si="0"/>
        <v>('SL2E-004','SL2E','C','CHOI JONG-IN'),</v>
      </c>
      <c r="J5" t="s">
        <v>708</v>
      </c>
      <c r="K5" s="2" t="s">
        <v>560</v>
      </c>
      <c r="L5" s="3" t="str">
        <f t="shared" si="1"/>
        <v>SET002_004</v>
      </c>
      <c r="M5" t="s">
        <v>705</v>
      </c>
      <c r="N5" t="s">
        <v>706</v>
      </c>
      <c r="O5" t="s">
        <v>707</v>
      </c>
      <c r="P5" t="str">
        <f t="shared" si="2"/>
        <v>UPDATE CardPool SET cards_Display_Order = 'SET002_004' WHERE CardCode = 'SL2E-004';</v>
      </c>
    </row>
    <row r="6" spans="1:16" x14ac:dyDescent="0.25">
      <c r="A6" t="s">
        <v>8</v>
      </c>
      <c r="B6" t="s">
        <v>137</v>
      </c>
      <c r="C6" t="s">
        <v>138</v>
      </c>
      <c r="D6" t="s">
        <v>159</v>
      </c>
      <c r="E6" t="s">
        <v>204</v>
      </c>
      <c r="F6" s="1" t="s">
        <v>205</v>
      </c>
      <c r="G6" s="1" t="s">
        <v>206</v>
      </c>
      <c r="H6" s="1" t="s">
        <v>359</v>
      </c>
      <c r="I6" t="str">
        <f t="shared" si="0"/>
        <v>('SL2E-005','SL2E','C','CHA HAE-IN'),</v>
      </c>
      <c r="J6" t="s">
        <v>708</v>
      </c>
      <c r="K6" s="2" t="s">
        <v>561</v>
      </c>
      <c r="L6" s="3" t="str">
        <f t="shared" si="1"/>
        <v>SET002_005</v>
      </c>
      <c r="M6" t="s">
        <v>705</v>
      </c>
      <c r="N6" t="s">
        <v>706</v>
      </c>
      <c r="O6" t="s">
        <v>707</v>
      </c>
      <c r="P6" t="str">
        <f t="shared" si="2"/>
        <v>UPDATE CardPool SET cards_Display_Order = 'SET002_005' WHERE CardCode = 'SL2E-005';</v>
      </c>
    </row>
    <row r="7" spans="1:16" x14ac:dyDescent="0.25">
      <c r="A7" t="s">
        <v>9</v>
      </c>
      <c r="B7" t="s">
        <v>137</v>
      </c>
      <c r="C7" t="s">
        <v>138</v>
      </c>
      <c r="D7" t="s">
        <v>160</v>
      </c>
      <c r="E7" t="s">
        <v>204</v>
      </c>
      <c r="F7" s="1" t="s">
        <v>205</v>
      </c>
      <c r="G7" s="1" t="s">
        <v>206</v>
      </c>
      <c r="H7" s="1" t="s">
        <v>359</v>
      </c>
      <c r="I7" t="str">
        <f t="shared" si="0"/>
        <v>('SL2E-006','SL2E','C','WOO JINCHUL'),</v>
      </c>
      <c r="J7" t="s">
        <v>708</v>
      </c>
      <c r="K7" s="2" t="s">
        <v>562</v>
      </c>
      <c r="L7" s="3" t="str">
        <f t="shared" si="1"/>
        <v>SET002_006</v>
      </c>
      <c r="M7" t="s">
        <v>705</v>
      </c>
      <c r="N7" t="s">
        <v>706</v>
      </c>
      <c r="O7" t="s">
        <v>707</v>
      </c>
      <c r="P7" t="str">
        <f t="shared" si="2"/>
        <v>UPDATE CardPool SET cards_Display_Order = 'SET002_006' WHERE CardCode = 'SL2E-006';</v>
      </c>
    </row>
    <row r="8" spans="1:16" x14ac:dyDescent="0.25">
      <c r="A8" t="s">
        <v>10</v>
      </c>
      <c r="B8" t="s">
        <v>137</v>
      </c>
      <c r="C8" t="s">
        <v>138</v>
      </c>
      <c r="D8" t="s">
        <v>161</v>
      </c>
      <c r="E8" t="s">
        <v>204</v>
      </c>
      <c r="F8" s="1" t="s">
        <v>205</v>
      </c>
      <c r="G8" s="1" t="s">
        <v>206</v>
      </c>
      <c r="H8" s="1" t="s">
        <v>359</v>
      </c>
      <c r="I8" t="str">
        <f t="shared" si="0"/>
        <v>('SL2E-007','SL2E','C','GO GUNHEE'),</v>
      </c>
      <c r="J8" t="s">
        <v>708</v>
      </c>
      <c r="K8" s="2" t="s">
        <v>563</v>
      </c>
      <c r="L8" s="3" t="str">
        <f t="shared" si="1"/>
        <v>SET002_007</v>
      </c>
      <c r="M8" t="s">
        <v>705</v>
      </c>
      <c r="N8" t="s">
        <v>706</v>
      </c>
      <c r="O8" t="s">
        <v>707</v>
      </c>
      <c r="P8" t="str">
        <f t="shared" si="2"/>
        <v>UPDATE CardPool SET cards_Display_Order = 'SET002_007' WHERE CardCode = 'SL2E-007';</v>
      </c>
    </row>
    <row r="9" spans="1:16" x14ac:dyDescent="0.25">
      <c r="A9" t="s">
        <v>11</v>
      </c>
      <c r="B9" t="s">
        <v>137</v>
      </c>
      <c r="C9" t="s">
        <v>138</v>
      </c>
      <c r="D9" t="s">
        <v>162</v>
      </c>
      <c r="E9" t="s">
        <v>204</v>
      </c>
      <c r="F9" s="1" t="s">
        <v>205</v>
      </c>
      <c r="G9" s="1" t="s">
        <v>206</v>
      </c>
      <c r="H9" s="1" t="s">
        <v>359</v>
      </c>
      <c r="I9" t="str">
        <f t="shared" si="0"/>
        <v>('SL2E-008','SL2E','C','SUNG JINAH'),</v>
      </c>
      <c r="J9" t="s">
        <v>708</v>
      </c>
      <c r="K9" s="2" t="s">
        <v>564</v>
      </c>
      <c r="L9" s="3" t="str">
        <f t="shared" si="1"/>
        <v>SET002_008</v>
      </c>
      <c r="M9" t="s">
        <v>705</v>
      </c>
      <c r="N9" t="s">
        <v>706</v>
      </c>
      <c r="O9" t="s">
        <v>707</v>
      </c>
      <c r="P9" t="str">
        <f t="shared" si="2"/>
        <v>UPDATE CardPool SET cards_Display_Order = 'SET002_008' WHERE CardCode = 'SL2E-008';</v>
      </c>
    </row>
    <row r="10" spans="1:16" x14ac:dyDescent="0.25">
      <c r="A10" t="s">
        <v>12</v>
      </c>
      <c r="B10" t="s">
        <v>137</v>
      </c>
      <c r="C10" t="s">
        <v>138</v>
      </c>
      <c r="D10" t="s">
        <v>163</v>
      </c>
      <c r="E10" t="s">
        <v>204</v>
      </c>
      <c r="F10" s="1" t="s">
        <v>205</v>
      </c>
      <c r="G10" s="1" t="s">
        <v>206</v>
      </c>
      <c r="H10" s="1" t="s">
        <v>359</v>
      </c>
      <c r="I10" t="str">
        <f t="shared" si="0"/>
        <v>('SL2E-009','SL2E','C','SUNG IL-HWAN'),</v>
      </c>
      <c r="J10" t="s">
        <v>708</v>
      </c>
      <c r="K10" s="2" t="s">
        <v>565</v>
      </c>
      <c r="L10" s="3" t="str">
        <f t="shared" si="1"/>
        <v>SET002_009</v>
      </c>
      <c r="M10" t="s">
        <v>705</v>
      </c>
      <c r="N10" t="s">
        <v>706</v>
      </c>
      <c r="O10" t="s">
        <v>707</v>
      </c>
      <c r="P10" t="str">
        <f t="shared" si="2"/>
        <v>UPDATE CardPool SET cards_Display_Order = 'SET002_009' WHERE CardCode = 'SL2E-009';</v>
      </c>
    </row>
    <row r="11" spans="1:16" x14ac:dyDescent="0.25">
      <c r="A11" t="s">
        <v>13</v>
      </c>
      <c r="B11" t="s">
        <v>137</v>
      </c>
      <c r="C11" t="s">
        <v>138</v>
      </c>
      <c r="D11" t="s">
        <v>164</v>
      </c>
      <c r="E11" t="s">
        <v>204</v>
      </c>
      <c r="F11" s="1" t="s">
        <v>205</v>
      </c>
      <c r="G11" s="1" t="s">
        <v>206</v>
      </c>
      <c r="H11" s="1" t="s">
        <v>359</v>
      </c>
      <c r="I11" t="str">
        <f t="shared" si="0"/>
        <v>('SL2E-010','SL2E','C','HAN SONG-YI'),</v>
      </c>
      <c r="J11" t="s">
        <v>708</v>
      </c>
      <c r="K11" s="2" t="s">
        <v>566</v>
      </c>
      <c r="L11" s="3" t="str">
        <f t="shared" si="1"/>
        <v>SET002_010</v>
      </c>
      <c r="M11" t="s">
        <v>705</v>
      </c>
      <c r="N11" t="s">
        <v>706</v>
      </c>
      <c r="O11" t="s">
        <v>707</v>
      </c>
      <c r="P11" t="str">
        <f t="shared" si="2"/>
        <v>UPDATE CardPool SET cards_Display_Order = 'SET002_010' WHERE CardCode = 'SL2E-010';</v>
      </c>
    </row>
    <row r="12" spans="1:16" x14ac:dyDescent="0.25">
      <c r="A12" t="s">
        <v>14</v>
      </c>
      <c r="B12" t="s">
        <v>137</v>
      </c>
      <c r="C12" t="s">
        <v>138</v>
      </c>
      <c r="D12" t="s">
        <v>165</v>
      </c>
      <c r="E12" t="s">
        <v>204</v>
      </c>
      <c r="F12" s="1" t="s">
        <v>205</v>
      </c>
      <c r="G12" s="1" t="s">
        <v>206</v>
      </c>
      <c r="H12" s="1" t="s">
        <v>359</v>
      </c>
      <c r="I12" t="str">
        <f t="shared" si="0"/>
        <v>('SL2E-011','SL2E','C','SON KIHOON'),</v>
      </c>
      <c r="J12" t="s">
        <v>708</v>
      </c>
      <c r="K12" s="2" t="s">
        <v>567</v>
      </c>
      <c r="L12" s="3" t="str">
        <f t="shared" si="1"/>
        <v>SET002_011</v>
      </c>
      <c r="M12" t="s">
        <v>705</v>
      </c>
      <c r="N12" t="s">
        <v>706</v>
      </c>
      <c r="O12" t="s">
        <v>707</v>
      </c>
      <c r="P12" t="str">
        <f t="shared" si="2"/>
        <v>UPDATE CardPool SET cards_Display_Order = 'SET002_011' WHERE CardCode = 'SL2E-011';</v>
      </c>
    </row>
    <row r="13" spans="1:16" x14ac:dyDescent="0.25">
      <c r="A13" t="s">
        <v>15</v>
      </c>
      <c r="B13" t="s">
        <v>137</v>
      </c>
      <c r="C13" t="s">
        <v>138</v>
      </c>
      <c r="D13" t="s">
        <v>166</v>
      </c>
      <c r="E13" t="s">
        <v>204</v>
      </c>
      <c r="F13" s="1" t="s">
        <v>205</v>
      </c>
      <c r="G13" s="1" t="s">
        <v>206</v>
      </c>
      <c r="H13" s="1" t="s">
        <v>359</v>
      </c>
      <c r="I13" t="str">
        <f t="shared" si="0"/>
        <v>('SL2E-012','SL2E','C','GINA'),</v>
      </c>
      <c r="J13" t="s">
        <v>708</v>
      </c>
      <c r="K13" s="2" t="s">
        <v>568</v>
      </c>
      <c r="L13" s="3" t="str">
        <f t="shared" si="1"/>
        <v>SET002_012</v>
      </c>
      <c r="M13" t="s">
        <v>705</v>
      </c>
      <c r="N13" t="s">
        <v>706</v>
      </c>
      <c r="O13" t="s">
        <v>707</v>
      </c>
      <c r="P13" t="str">
        <f t="shared" si="2"/>
        <v>UPDATE CardPool SET cards_Display_Order = 'SET002_012' WHERE CardCode = 'SL2E-012';</v>
      </c>
    </row>
    <row r="14" spans="1:16" x14ac:dyDescent="0.25">
      <c r="A14" t="s">
        <v>16</v>
      </c>
      <c r="B14" t="s">
        <v>137</v>
      </c>
      <c r="C14" t="s">
        <v>138</v>
      </c>
      <c r="D14" t="s">
        <v>167</v>
      </c>
      <c r="E14" t="s">
        <v>204</v>
      </c>
      <c r="F14" s="1" t="s">
        <v>205</v>
      </c>
      <c r="G14" s="1" t="s">
        <v>206</v>
      </c>
      <c r="H14" s="1" t="s">
        <v>359</v>
      </c>
      <c r="I14" t="str">
        <f t="shared" si="0"/>
        <v>('SL2E-013','SL2E','C','LEE BORA'),</v>
      </c>
      <c r="J14" t="s">
        <v>708</v>
      </c>
      <c r="K14" s="2" t="s">
        <v>569</v>
      </c>
      <c r="L14" s="3" t="str">
        <f t="shared" si="1"/>
        <v>SET002_013</v>
      </c>
      <c r="M14" t="s">
        <v>705</v>
      </c>
      <c r="N14" t="s">
        <v>706</v>
      </c>
      <c r="O14" t="s">
        <v>707</v>
      </c>
      <c r="P14" t="str">
        <f t="shared" si="2"/>
        <v>UPDATE CardPool SET cards_Display_Order = 'SET002_013' WHERE CardCode = 'SL2E-013';</v>
      </c>
    </row>
    <row r="15" spans="1:16" x14ac:dyDescent="0.25">
      <c r="A15" t="s">
        <v>17</v>
      </c>
      <c r="B15" t="s">
        <v>137</v>
      </c>
      <c r="C15" t="s">
        <v>138</v>
      </c>
      <c r="D15" t="s">
        <v>168</v>
      </c>
      <c r="E15" t="s">
        <v>204</v>
      </c>
      <c r="F15" s="1" t="s">
        <v>205</v>
      </c>
      <c r="G15" s="1" t="s">
        <v>206</v>
      </c>
      <c r="H15" s="1" t="s">
        <v>359</v>
      </c>
      <c r="I15" t="str">
        <f t="shared" si="0"/>
        <v>('SL2E-014','SL2E','C','HAN SEMI'),</v>
      </c>
      <c r="J15" t="s">
        <v>708</v>
      </c>
      <c r="K15" s="2" t="s">
        <v>570</v>
      </c>
      <c r="L15" s="3" t="str">
        <f t="shared" si="1"/>
        <v>SET002_014</v>
      </c>
      <c r="M15" t="s">
        <v>705</v>
      </c>
      <c r="N15" t="s">
        <v>706</v>
      </c>
      <c r="O15" t="s">
        <v>707</v>
      </c>
      <c r="P15" t="str">
        <f t="shared" si="2"/>
        <v>UPDATE CardPool SET cards_Display_Order = 'SET002_014' WHERE CardCode = 'SL2E-014';</v>
      </c>
    </row>
    <row r="16" spans="1:16" x14ac:dyDescent="0.25">
      <c r="A16" t="s">
        <v>18</v>
      </c>
      <c r="B16" t="s">
        <v>137</v>
      </c>
      <c r="C16" t="s">
        <v>138</v>
      </c>
      <c r="D16" t="s">
        <v>169</v>
      </c>
      <c r="E16" t="s">
        <v>204</v>
      </c>
      <c r="F16" s="1" t="s">
        <v>205</v>
      </c>
      <c r="G16" s="1" t="s">
        <v>206</v>
      </c>
      <c r="H16" s="1" t="s">
        <v>359</v>
      </c>
      <c r="I16" t="str">
        <f t="shared" si="0"/>
        <v>('SL2E-015','SL2E','C','MYUNG-CHUL'),</v>
      </c>
      <c r="J16" t="s">
        <v>708</v>
      </c>
      <c r="K16" s="2" t="s">
        <v>571</v>
      </c>
      <c r="L16" s="3" t="str">
        <f t="shared" si="1"/>
        <v>SET002_015</v>
      </c>
      <c r="M16" t="s">
        <v>705</v>
      </c>
      <c r="N16" t="s">
        <v>706</v>
      </c>
      <c r="O16" t="s">
        <v>707</v>
      </c>
      <c r="P16" t="str">
        <f t="shared" si="2"/>
        <v>UPDATE CardPool SET cards_Display_Order = 'SET002_015' WHERE CardCode = 'SL2E-015';</v>
      </c>
    </row>
    <row r="17" spans="1:16" x14ac:dyDescent="0.25">
      <c r="A17" t="s">
        <v>19</v>
      </c>
      <c r="B17" t="s">
        <v>137</v>
      </c>
      <c r="C17" t="s">
        <v>138</v>
      </c>
      <c r="D17" t="s">
        <v>170</v>
      </c>
      <c r="E17" t="s">
        <v>204</v>
      </c>
      <c r="F17" s="1" t="s">
        <v>205</v>
      </c>
      <c r="G17" s="1" t="s">
        <v>206</v>
      </c>
      <c r="H17" s="1" t="s">
        <v>359</v>
      </c>
      <c r="I17" t="str">
        <f t="shared" si="0"/>
        <v>('SL2E-016','SL2E','C','LEE GEONGUK'),</v>
      </c>
      <c r="J17" t="s">
        <v>708</v>
      </c>
      <c r="K17" s="2" t="s">
        <v>572</v>
      </c>
      <c r="L17" s="3" t="str">
        <f t="shared" si="1"/>
        <v>SET002_016</v>
      </c>
      <c r="M17" t="s">
        <v>705</v>
      </c>
      <c r="N17" t="s">
        <v>706</v>
      </c>
      <c r="O17" t="s">
        <v>707</v>
      </c>
      <c r="P17" t="str">
        <f t="shared" si="2"/>
        <v>UPDATE CardPool SET cards_Display_Order = 'SET002_016' WHERE CardCode = 'SL2E-016';</v>
      </c>
    </row>
    <row r="18" spans="1:16" x14ac:dyDescent="0.25">
      <c r="A18" t="s">
        <v>20</v>
      </c>
      <c r="B18" t="s">
        <v>137</v>
      </c>
      <c r="C18" t="s">
        <v>138</v>
      </c>
      <c r="D18" t="s">
        <v>171</v>
      </c>
      <c r="E18" t="s">
        <v>204</v>
      </c>
      <c r="F18" s="1" t="s">
        <v>205</v>
      </c>
      <c r="G18" s="1" t="s">
        <v>206</v>
      </c>
      <c r="H18" s="1" t="s">
        <v>359</v>
      </c>
      <c r="I18" t="str">
        <f t="shared" si="0"/>
        <v>('SL2E-017','SL2E','C','SHIN SUKJIN'),</v>
      </c>
      <c r="J18" t="s">
        <v>708</v>
      </c>
      <c r="K18" s="2" t="s">
        <v>573</v>
      </c>
      <c r="L18" s="3" t="str">
        <f t="shared" si="1"/>
        <v>SET002_017</v>
      </c>
      <c r="M18" t="s">
        <v>705</v>
      </c>
      <c r="N18" t="s">
        <v>706</v>
      </c>
      <c r="O18" t="s">
        <v>707</v>
      </c>
      <c r="P18" t="str">
        <f t="shared" si="2"/>
        <v>UPDATE CardPool SET cards_Display_Order = 'SET002_017' WHERE CardCode = 'SL2E-017';</v>
      </c>
    </row>
    <row r="19" spans="1:16" x14ac:dyDescent="0.25">
      <c r="A19" t="s">
        <v>21</v>
      </c>
      <c r="B19" t="s">
        <v>137</v>
      </c>
      <c r="C19" t="s">
        <v>138</v>
      </c>
      <c r="D19" t="s">
        <v>172</v>
      </c>
      <c r="E19" t="s">
        <v>204</v>
      </c>
      <c r="F19" s="1" t="s">
        <v>205</v>
      </c>
      <c r="G19" s="1" t="s">
        <v>206</v>
      </c>
      <c r="H19" s="1" t="s">
        <v>359</v>
      </c>
      <c r="I19" t="str">
        <f t="shared" si="0"/>
        <v>('SL2E-018','SL2E','C','SEO JIWOO'),</v>
      </c>
      <c r="J19" t="s">
        <v>708</v>
      </c>
      <c r="K19" s="2" t="s">
        <v>574</v>
      </c>
      <c r="L19" s="3" t="str">
        <f t="shared" si="1"/>
        <v>SET002_018</v>
      </c>
      <c r="M19" t="s">
        <v>705</v>
      </c>
      <c r="N19" t="s">
        <v>706</v>
      </c>
      <c r="O19" t="s">
        <v>707</v>
      </c>
      <c r="P19" t="str">
        <f t="shared" si="2"/>
        <v>UPDATE CardPool SET cards_Display_Order = 'SET002_018' WHERE CardCode = 'SL2E-018';</v>
      </c>
    </row>
    <row r="20" spans="1:16" x14ac:dyDescent="0.25">
      <c r="A20" t="s">
        <v>22</v>
      </c>
      <c r="B20" t="s">
        <v>137</v>
      </c>
      <c r="C20" t="s">
        <v>138</v>
      </c>
      <c r="D20" t="s">
        <v>173</v>
      </c>
      <c r="E20" t="s">
        <v>204</v>
      </c>
      <c r="F20" s="1" t="s">
        <v>205</v>
      </c>
      <c r="G20" s="1" t="s">
        <v>206</v>
      </c>
      <c r="H20" s="1" t="s">
        <v>359</v>
      </c>
      <c r="I20" t="str">
        <f t="shared" si="0"/>
        <v>('SL2E-019','SL2E','C','KIM EUNSU'),</v>
      </c>
      <c r="J20" t="s">
        <v>708</v>
      </c>
      <c r="K20" s="2" t="s">
        <v>575</v>
      </c>
      <c r="L20" s="3" t="str">
        <f t="shared" si="1"/>
        <v>SET002_019</v>
      </c>
      <c r="M20" t="s">
        <v>705</v>
      </c>
      <c r="N20" t="s">
        <v>706</v>
      </c>
      <c r="O20" t="s">
        <v>707</v>
      </c>
      <c r="P20" t="str">
        <f t="shared" si="2"/>
        <v>UPDATE CardPool SET cards_Display_Order = 'SET002_019' WHERE CardCode = 'SL2E-019';</v>
      </c>
    </row>
    <row r="21" spans="1:16" x14ac:dyDescent="0.25">
      <c r="A21" t="s">
        <v>23</v>
      </c>
      <c r="B21" t="s">
        <v>137</v>
      </c>
      <c r="C21" t="s">
        <v>138</v>
      </c>
      <c r="D21" t="s">
        <v>174</v>
      </c>
      <c r="E21" t="s">
        <v>204</v>
      </c>
      <c r="F21" s="1" t="s">
        <v>205</v>
      </c>
      <c r="G21" s="1" t="s">
        <v>206</v>
      </c>
      <c r="H21" s="1" t="s">
        <v>359</v>
      </c>
      <c r="I21" t="str">
        <f t="shared" si="0"/>
        <v>('SL2E-020','SL2E','C','HWANG DONGSOO'),</v>
      </c>
      <c r="J21" t="s">
        <v>708</v>
      </c>
      <c r="K21" s="2" t="s">
        <v>576</v>
      </c>
      <c r="L21" s="3" t="str">
        <f t="shared" si="1"/>
        <v>SET002_020</v>
      </c>
      <c r="M21" t="s">
        <v>705</v>
      </c>
      <c r="N21" t="s">
        <v>706</v>
      </c>
      <c r="O21" t="s">
        <v>707</v>
      </c>
      <c r="P21" t="str">
        <f t="shared" si="2"/>
        <v>UPDATE CardPool SET cards_Display_Order = 'SET002_020' WHERE CardCode = 'SL2E-020';</v>
      </c>
    </row>
    <row r="22" spans="1:16" x14ac:dyDescent="0.25">
      <c r="A22" t="s">
        <v>24</v>
      </c>
      <c r="B22" t="s">
        <v>137</v>
      </c>
      <c r="C22" t="s">
        <v>138</v>
      </c>
      <c r="D22" t="s">
        <v>175</v>
      </c>
      <c r="E22" t="s">
        <v>204</v>
      </c>
      <c r="F22" s="1" t="s">
        <v>205</v>
      </c>
      <c r="G22" s="1" t="s">
        <v>206</v>
      </c>
      <c r="H22" s="1" t="s">
        <v>359</v>
      </c>
      <c r="I22" t="str">
        <f t="shared" si="0"/>
        <v>('SL2E-021','SL2E','C','KIM CHUL'),</v>
      </c>
      <c r="J22" t="s">
        <v>708</v>
      </c>
      <c r="K22" s="2" t="s">
        <v>577</v>
      </c>
      <c r="L22" s="3" t="str">
        <f t="shared" si="1"/>
        <v>SET002_021</v>
      </c>
      <c r="M22" t="s">
        <v>705</v>
      </c>
      <c r="N22" t="s">
        <v>706</v>
      </c>
      <c r="O22" t="s">
        <v>707</v>
      </c>
      <c r="P22" t="str">
        <f t="shared" si="2"/>
        <v>UPDATE CardPool SET cards_Display_Order = 'SET002_021' WHERE CardCode = 'SL2E-021';</v>
      </c>
    </row>
    <row r="23" spans="1:16" x14ac:dyDescent="0.25">
      <c r="A23" t="s">
        <v>25</v>
      </c>
      <c r="B23" t="s">
        <v>137</v>
      </c>
      <c r="C23" t="s">
        <v>138</v>
      </c>
      <c r="D23" t="s">
        <v>176</v>
      </c>
      <c r="E23" t="s">
        <v>204</v>
      </c>
      <c r="F23" s="1" t="s">
        <v>205</v>
      </c>
      <c r="G23" s="1" t="s">
        <v>206</v>
      </c>
      <c r="H23" s="1" t="s">
        <v>359</v>
      </c>
      <c r="I23" t="str">
        <f t="shared" si="0"/>
        <v>('SL2E-022','SL2E','C','PARK HEEJIN'),</v>
      </c>
      <c r="J23" t="s">
        <v>708</v>
      </c>
      <c r="K23" s="2" t="s">
        <v>578</v>
      </c>
      <c r="L23" s="3" t="str">
        <f t="shared" si="1"/>
        <v>SET002_022</v>
      </c>
      <c r="M23" t="s">
        <v>705</v>
      </c>
      <c r="N23" t="s">
        <v>706</v>
      </c>
      <c r="O23" t="s">
        <v>707</v>
      </c>
      <c r="P23" t="str">
        <f t="shared" si="2"/>
        <v>UPDATE CardPool SET cards_Display_Order = 'SET002_022' WHERE CardCode = 'SL2E-022';</v>
      </c>
    </row>
    <row r="24" spans="1:16" x14ac:dyDescent="0.25">
      <c r="A24" t="s">
        <v>26</v>
      </c>
      <c r="B24" t="s">
        <v>137</v>
      </c>
      <c r="C24" t="s">
        <v>138</v>
      </c>
      <c r="D24" t="s">
        <v>177</v>
      </c>
      <c r="E24" t="s">
        <v>204</v>
      </c>
      <c r="F24" s="1" t="s">
        <v>205</v>
      </c>
      <c r="G24" s="1" t="s">
        <v>206</v>
      </c>
      <c r="H24" s="1" t="s">
        <v>359</v>
      </c>
      <c r="I24" t="str">
        <f t="shared" si="0"/>
        <v>('SL2E-023','SL2E','C','LEE SEONGGU'),</v>
      </c>
      <c r="J24" t="s">
        <v>708</v>
      </c>
      <c r="K24" s="2" t="s">
        <v>579</v>
      </c>
      <c r="L24" s="3" t="str">
        <f t="shared" si="1"/>
        <v>SET002_023</v>
      </c>
      <c r="M24" t="s">
        <v>705</v>
      </c>
      <c r="N24" t="s">
        <v>706</v>
      </c>
      <c r="O24" t="s">
        <v>707</v>
      </c>
      <c r="P24" t="str">
        <f t="shared" si="2"/>
        <v>UPDATE CardPool SET cards_Display_Order = 'SET002_023' WHERE CardCode = 'SL2E-023';</v>
      </c>
    </row>
    <row r="25" spans="1:16" x14ac:dyDescent="0.25">
      <c r="A25" t="s">
        <v>27</v>
      </c>
      <c r="B25" t="s">
        <v>137</v>
      </c>
      <c r="C25" t="s">
        <v>138</v>
      </c>
      <c r="D25" t="s">
        <v>178</v>
      </c>
      <c r="E25" t="s">
        <v>204</v>
      </c>
      <c r="F25" s="1" t="s">
        <v>205</v>
      </c>
      <c r="G25" s="1" t="s">
        <v>206</v>
      </c>
      <c r="H25" s="1" t="s">
        <v>359</v>
      </c>
      <c r="I25" t="str">
        <f t="shared" si="0"/>
        <v>('SL2E-024','SL2E','C','BAE YUNSEOK'),</v>
      </c>
      <c r="J25" t="s">
        <v>708</v>
      </c>
      <c r="K25" s="2" t="s">
        <v>580</v>
      </c>
      <c r="L25" s="3" t="str">
        <f t="shared" si="1"/>
        <v>SET002_024</v>
      </c>
      <c r="M25" t="s">
        <v>705</v>
      </c>
      <c r="N25" t="s">
        <v>706</v>
      </c>
      <c r="O25" t="s">
        <v>707</v>
      </c>
      <c r="P25" t="str">
        <f t="shared" si="2"/>
        <v>UPDATE CardPool SET cards_Display_Order = 'SET002_024' WHERE CardCode = 'SL2E-024';</v>
      </c>
    </row>
    <row r="26" spans="1:16" x14ac:dyDescent="0.25">
      <c r="A26" t="s">
        <v>28</v>
      </c>
      <c r="B26" t="s">
        <v>137</v>
      </c>
      <c r="C26" t="s">
        <v>138</v>
      </c>
      <c r="D26" t="s">
        <v>179</v>
      </c>
      <c r="E26" t="s">
        <v>204</v>
      </c>
      <c r="F26" s="1" t="s">
        <v>205</v>
      </c>
      <c r="G26" s="1" t="s">
        <v>206</v>
      </c>
      <c r="H26" s="1" t="s">
        <v>359</v>
      </c>
      <c r="I26" t="str">
        <f t="shared" si="0"/>
        <v>('SL2E-025','SL2E','C','PARK KYUNG-HYE'),</v>
      </c>
      <c r="J26" t="s">
        <v>708</v>
      </c>
      <c r="K26" s="2" t="s">
        <v>581</v>
      </c>
      <c r="L26" s="3" t="str">
        <f t="shared" si="1"/>
        <v>SET002_025</v>
      </c>
      <c r="M26" t="s">
        <v>705</v>
      </c>
      <c r="N26" t="s">
        <v>706</v>
      </c>
      <c r="O26" t="s">
        <v>707</v>
      </c>
      <c r="P26" t="str">
        <f t="shared" si="2"/>
        <v>UPDATE CardPool SET cards_Display_Order = 'SET002_025' WHERE CardCode = 'SL2E-025';</v>
      </c>
    </row>
    <row r="27" spans="1:16" x14ac:dyDescent="0.25">
      <c r="A27" t="s">
        <v>29</v>
      </c>
      <c r="B27" t="s">
        <v>137</v>
      </c>
      <c r="C27" t="s">
        <v>138</v>
      </c>
      <c r="D27" t="s">
        <v>180</v>
      </c>
      <c r="E27" t="s">
        <v>204</v>
      </c>
      <c r="F27" s="1" t="s">
        <v>205</v>
      </c>
      <c r="G27" s="1" t="s">
        <v>206</v>
      </c>
      <c r="H27" s="1" t="s">
        <v>359</v>
      </c>
      <c r="I27" t="str">
        <f t="shared" si="0"/>
        <v>('SL2E-026','SL2E','C','YOO MYUNGHAN'),</v>
      </c>
      <c r="J27" t="s">
        <v>708</v>
      </c>
      <c r="K27" s="2" t="s">
        <v>582</v>
      </c>
      <c r="L27" s="3" t="str">
        <f t="shared" si="1"/>
        <v>SET002_026</v>
      </c>
      <c r="M27" t="s">
        <v>705</v>
      </c>
      <c r="N27" t="s">
        <v>706</v>
      </c>
      <c r="O27" t="s">
        <v>707</v>
      </c>
      <c r="P27" t="str">
        <f t="shared" si="2"/>
        <v>UPDATE CardPool SET cards_Display_Order = 'SET002_026' WHERE CardCode = 'SL2E-026';</v>
      </c>
    </row>
    <row r="28" spans="1:16" x14ac:dyDescent="0.25">
      <c r="A28" t="s">
        <v>30</v>
      </c>
      <c r="B28" t="s">
        <v>137</v>
      </c>
      <c r="C28" t="s">
        <v>138</v>
      </c>
      <c r="D28" t="s">
        <v>181</v>
      </c>
      <c r="E28" t="s">
        <v>204</v>
      </c>
      <c r="F28" s="1" t="s">
        <v>205</v>
      </c>
      <c r="G28" s="1" t="s">
        <v>206</v>
      </c>
      <c r="H28" s="1" t="s">
        <v>359</v>
      </c>
      <c r="I28" t="str">
        <f t="shared" si="0"/>
        <v>('SL2E-027','SL2E','C','AHN SANGMIN'),</v>
      </c>
      <c r="J28" t="s">
        <v>708</v>
      </c>
      <c r="K28" s="2" t="s">
        <v>583</v>
      </c>
      <c r="L28" s="3" t="str">
        <f t="shared" si="1"/>
        <v>SET002_027</v>
      </c>
      <c r="M28" t="s">
        <v>705</v>
      </c>
      <c r="N28" t="s">
        <v>706</v>
      </c>
      <c r="O28" t="s">
        <v>707</v>
      </c>
      <c r="P28" t="str">
        <f t="shared" si="2"/>
        <v>UPDATE CardPool SET cards_Display_Order = 'SET002_027' WHERE CardCode = 'SL2E-027';</v>
      </c>
    </row>
    <row r="29" spans="1:16" x14ac:dyDescent="0.25">
      <c r="A29" t="s">
        <v>31</v>
      </c>
      <c r="B29" t="s">
        <v>137</v>
      </c>
      <c r="C29" t="s">
        <v>138</v>
      </c>
      <c r="D29" t="s">
        <v>182</v>
      </c>
      <c r="E29" t="s">
        <v>204</v>
      </c>
      <c r="F29" s="1" t="s">
        <v>205</v>
      </c>
      <c r="G29" s="1" t="s">
        <v>206</v>
      </c>
      <c r="H29" s="1" t="s">
        <v>359</v>
      </c>
      <c r="I29" t="str">
        <f t="shared" si="0"/>
        <v>('SL2E-028','SL2E','C','HYUN KICHUL'),</v>
      </c>
      <c r="J29" t="s">
        <v>708</v>
      </c>
      <c r="K29" s="2" t="s">
        <v>584</v>
      </c>
      <c r="L29" s="3" t="str">
        <f t="shared" si="1"/>
        <v>SET002_028</v>
      </c>
      <c r="M29" t="s">
        <v>705</v>
      </c>
      <c r="N29" t="s">
        <v>706</v>
      </c>
      <c r="O29" t="s">
        <v>707</v>
      </c>
      <c r="P29" t="str">
        <f t="shared" si="2"/>
        <v>UPDATE CardPool SET cards_Display_Order = 'SET002_028' WHERE CardCode = 'SL2E-028';</v>
      </c>
    </row>
    <row r="30" spans="1:16" x14ac:dyDescent="0.25">
      <c r="A30" t="s">
        <v>32</v>
      </c>
      <c r="B30" t="s">
        <v>137</v>
      </c>
      <c r="C30" t="s">
        <v>138</v>
      </c>
      <c r="D30" t="s">
        <v>183</v>
      </c>
      <c r="E30" t="s">
        <v>204</v>
      </c>
      <c r="F30" s="1" t="s">
        <v>205</v>
      </c>
      <c r="G30" s="1" t="s">
        <v>206</v>
      </c>
      <c r="H30" s="1" t="s">
        <v>359</v>
      </c>
      <c r="I30" t="str">
        <f t="shared" si="0"/>
        <v>('SL2E-029','SL2E','C','MICHAEL CONNOR'),</v>
      </c>
      <c r="J30" t="s">
        <v>708</v>
      </c>
      <c r="K30" s="2" t="s">
        <v>585</v>
      </c>
      <c r="L30" s="3" t="str">
        <f t="shared" si="1"/>
        <v>SET002_029</v>
      </c>
      <c r="M30" t="s">
        <v>705</v>
      </c>
      <c r="N30" t="s">
        <v>706</v>
      </c>
      <c r="O30" t="s">
        <v>707</v>
      </c>
      <c r="P30" t="str">
        <f t="shared" si="2"/>
        <v>UPDATE CardPool SET cards_Display_Order = 'SET002_029' WHERE CardCode = 'SL2E-029';</v>
      </c>
    </row>
    <row r="31" spans="1:16" x14ac:dyDescent="0.25">
      <c r="A31" t="s">
        <v>33</v>
      </c>
      <c r="B31" t="s">
        <v>137</v>
      </c>
      <c r="C31" t="s">
        <v>138</v>
      </c>
      <c r="D31" t="s">
        <v>184</v>
      </c>
      <c r="E31" t="s">
        <v>204</v>
      </c>
      <c r="F31" s="1" t="s">
        <v>205</v>
      </c>
      <c r="G31" s="1" t="s">
        <v>206</v>
      </c>
      <c r="H31" s="1" t="s">
        <v>359</v>
      </c>
      <c r="I31" t="str">
        <f t="shared" si="0"/>
        <v>('SL2E-030','SL2E','C','SHADOW SOLDIER'),</v>
      </c>
      <c r="J31" t="s">
        <v>708</v>
      </c>
      <c r="K31" s="2" t="s">
        <v>586</v>
      </c>
      <c r="L31" s="3" t="str">
        <f t="shared" si="1"/>
        <v>SET002_030</v>
      </c>
      <c r="M31" t="s">
        <v>705</v>
      </c>
      <c r="N31" t="s">
        <v>706</v>
      </c>
      <c r="O31" t="s">
        <v>707</v>
      </c>
      <c r="P31" t="str">
        <f t="shared" si="2"/>
        <v>UPDATE CardPool SET cards_Display_Order = 'SET002_030' WHERE CardCode = 'SL2E-030';</v>
      </c>
    </row>
    <row r="32" spans="1:16" x14ac:dyDescent="0.25">
      <c r="A32" t="s">
        <v>34</v>
      </c>
      <c r="B32" t="s">
        <v>137</v>
      </c>
      <c r="C32" t="s">
        <v>138</v>
      </c>
      <c r="D32" t="s">
        <v>185</v>
      </c>
      <c r="E32" t="s">
        <v>204</v>
      </c>
      <c r="F32" s="1" t="s">
        <v>205</v>
      </c>
      <c r="G32" s="1" t="s">
        <v>206</v>
      </c>
      <c r="H32" s="1" t="s">
        <v>359</v>
      </c>
      <c r="I32" t="str">
        <f t="shared" si="0"/>
        <v>('SL2E-031','SL2E','C','IGRIS'),</v>
      </c>
      <c r="J32" t="s">
        <v>708</v>
      </c>
      <c r="K32" s="2" t="s">
        <v>587</v>
      </c>
      <c r="L32" s="3" t="str">
        <f t="shared" si="1"/>
        <v>SET002_031</v>
      </c>
      <c r="M32" t="s">
        <v>705</v>
      </c>
      <c r="N32" t="s">
        <v>706</v>
      </c>
      <c r="O32" t="s">
        <v>707</v>
      </c>
      <c r="P32" t="str">
        <f t="shared" si="2"/>
        <v>UPDATE CardPool SET cards_Display_Order = 'SET002_031' WHERE CardCode = 'SL2E-031';</v>
      </c>
    </row>
    <row r="33" spans="1:16" x14ac:dyDescent="0.25">
      <c r="A33" t="s">
        <v>35</v>
      </c>
      <c r="B33" t="s">
        <v>137</v>
      </c>
      <c r="C33" t="s">
        <v>138</v>
      </c>
      <c r="D33" t="s">
        <v>186</v>
      </c>
      <c r="E33" t="s">
        <v>204</v>
      </c>
      <c r="F33" s="1" t="s">
        <v>205</v>
      </c>
      <c r="G33" s="1" t="s">
        <v>206</v>
      </c>
      <c r="H33" s="1" t="s">
        <v>359</v>
      </c>
      <c r="I33" t="str">
        <f t="shared" si="0"/>
        <v>('SL2E-032','SL2E','C','ICE BEAR'),</v>
      </c>
      <c r="J33" t="s">
        <v>708</v>
      </c>
      <c r="K33" s="2" t="s">
        <v>588</v>
      </c>
      <c r="L33" s="3" t="str">
        <f t="shared" si="1"/>
        <v>SET002_032</v>
      </c>
      <c r="M33" t="s">
        <v>705</v>
      </c>
      <c r="N33" t="s">
        <v>706</v>
      </c>
      <c r="O33" t="s">
        <v>707</v>
      </c>
      <c r="P33" t="str">
        <f t="shared" si="2"/>
        <v>UPDATE CardPool SET cards_Display_Order = 'SET002_032' WHERE CardCode = 'SL2E-032';</v>
      </c>
    </row>
    <row r="34" spans="1:16" x14ac:dyDescent="0.25">
      <c r="A34" t="s">
        <v>36</v>
      </c>
      <c r="B34" t="s">
        <v>137</v>
      </c>
      <c r="C34" t="s">
        <v>138</v>
      </c>
      <c r="D34" t="s">
        <v>187</v>
      </c>
      <c r="E34" t="s">
        <v>204</v>
      </c>
      <c r="F34" s="1" t="s">
        <v>205</v>
      </c>
      <c r="G34" s="1" t="s">
        <v>206</v>
      </c>
      <c r="H34" s="1" t="s">
        <v>359</v>
      </c>
      <c r="I34" t="str">
        <f t="shared" si="0"/>
        <v>('SL2E-033','SL2E','C','ICE ELF'),</v>
      </c>
      <c r="J34" t="s">
        <v>708</v>
      </c>
      <c r="K34" s="2" t="s">
        <v>589</v>
      </c>
      <c r="L34" s="3" t="str">
        <f t="shared" si="1"/>
        <v>SET002_033</v>
      </c>
      <c r="M34" t="s">
        <v>705</v>
      </c>
      <c r="N34" t="s">
        <v>706</v>
      </c>
      <c r="O34" t="s">
        <v>707</v>
      </c>
      <c r="P34" t="str">
        <f t="shared" si="2"/>
        <v>UPDATE CardPool SET cards_Display_Order = 'SET002_033' WHERE CardCode = 'SL2E-033';</v>
      </c>
    </row>
    <row r="35" spans="1:16" x14ac:dyDescent="0.25">
      <c r="A35" t="s">
        <v>37</v>
      </c>
      <c r="B35" t="s">
        <v>137</v>
      </c>
      <c r="C35" t="s">
        <v>138</v>
      </c>
      <c r="D35" t="s">
        <v>188</v>
      </c>
      <c r="E35" t="s">
        <v>204</v>
      </c>
      <c r="F35" s="1" t="s">
        <v>205</v>
      </c>
      <c r="G35" s="1" t="s">
        <v>206</v>
      </c>
      <c r="H35" s="1" t="s">
        <v>359</v>
      </c>
      <c r="I35" t="str">
        <f t="shared" si="0"/>
        <v>('SL2E-034','SL2E','C','BARUKA'),</v>
      </c>
      <c r="J35" t="s">
        <v>708</v>
      </c>
      <c r="K35" s="2" t="s">
        <v>590</v>
      </c>
      <c r="L35" s="3" t="str">
        <f t="shared" si="1"/>
        <v>SET002_034</v>
      </c>
      <c r="M35" t="s">
        <v>705</v>
      </c>
      <c r="N35" t="s">
        <v>706</v>
      </c>
      <c r="O35" t="s">
        <v>707</v>
      </c>
      <c r="P35" t="str">
        <f t="shared" si="2"/>
        <v>UPDATE CardPool SET cards_Display_Order = 'SET002_034' WHERE CardCode = 'SL2E-034';</v>
      </c>
    </row>
    <row r="36" spans="1:16" x14ac:dyDescent="0.25">
      <c r="A36" t="s">
        <v>38</v>
      </c>
      <c r="B36" t="s">
        <v>137</v>
      </c>
      <c r="C36" t="s">
        <v>138</v>
      </c>
      <c r="D36" t="s">
        <v>189</v>
      </c>
      <c r="E36" t="s">
        <v>204</v>
      </c>
      <c r="F36" s="1" t="s">
        <v>205</v>
      </c>
      <c r="G36" s="1" t="s">
        <v>206</v>
      </c>
      <c r="H36" s="1" t="s">
        <v>359</v>
      </c>
      <c r="I36" t="str">
        <f t="shared" si="0"/>
        <v>('SL2E-035','SL2E','C','DEMON'),</v>
      </c>
      <c r="J36" t="s">
        <v>708</v>
      </c>
      <c r="K36" s="2" t="s">
        <v>591</v>
      </c>
      <c r="L36" s="3" t="str">
        <f t="shared" si="1"/>
        <v>SET002_035</v>
      </c>
      <c r="M36" t="s">
        <v>705</v>
      </c>
      <c r="N36" t="s">
        <v>706</v>
      </c>
      <c r="O36" t="s">
        <v>707</v>
      </c>
      <c r="P36" t="str">
        <f t="shared" si="2"/>
        <v>UPDATE CardPool SET cards_Display_Order = 'SET002_035' WHERE CardCode = 'SL2E-035';</v>
      </c>
    </row>
    <row r="37" spans="1:16" x14ac:dyDescent="0.25">
      <c r="A37" t="s">
        <v>39</v>
      </c>
      <c r="B37" t="s">
        <v>137</v>
      </c>
      <c r="C37" t="s">
        <v>138</v>
      </c>
      <c r="D37" t="s">
        <v>190</v>
      </c>
      <c r="E37" t="s">
        <v>204</v>
      </c>
      <c r="F37" s="1" t="s">
        <v>205</v>
      </c>
      <c r="G37" s="1" t="s">
        <v>206</v>
      </c>
      <c r="H37" s="1" t="s">
        <v>359</v>
      </c>
      <c r="I37" t="str">
        <f t="shared" si="0"/>
        <v>('SL2E-036','SL2E','C','THE RULER OF THE LOWER FLOORS THE AVARICIOUS VULCAN'),</v>
      </c>
      <c r="J37" t="s">
        <v>708</v>
      </c>
      <c r="K37" s="2" t="s">
        <v>592</v>
      </c>
      <c r="L37" s="3" t="str">
        <f t="shared" si="1"/>
        <v>SET002_036</v>
      </c>
      <c r="M37" t="s">
        <v>705</v>
      </c>
      <c r="N37" t="s">
        <v>706</v>
      </c>
      <c r="O37" t="s">
        <v>707</v>
      </c>
      <c r="P37" t="str">
        <f t="shared" si="2"/>
        <v>UPDATE CardPool SET cards_Display_Order = 'SET002_036' WHERE CardCode = 'SL2E-036';</v>
      </c>
    </row>
    <row r="38" spans="1:16" x14ac:dyDescent="0.25">
      <c r="A38" t="s">
        <v>40</v>
      </c>
      <c r="B38" t="s">
        <v>137</v>
      </c>
      <c r="C38" t="s">
        <v>138</v>
      </c>
      <c r="D38" t="s">
        <v>191</v>
      </c>
      <c r="E38" t="s">
        <v>204</v>
      </c>
      <c r="F38" s="1" t="s">
        <v>205</v>
      </c>
      <c r="G38" s="1" t="s">
        <v>206</v>
      </c>
      <c r="H38" s="1" t="s">
        <v>359</v>
      </c>
      <c r="I38" t="str">
        <f t="shared" si="0"/>
        <v>('SL2E-037','SL2E','C','THE SOUL SHEPHERD, METUS'),</v>
      </c>
      <c r="J38" t="s">
        <v>708</v>
      </c>
      <c r="K38" s="2" t="s">
        <v>593</v>
      </c>
      <c r="L38" s="3" t="str">
        <f t="shared" si="1"/>
        <v>SET002_037</v>
      </c>
      <c r="M38" t="s">
        <v>705</v>
      </c>
      <c r="N38" t="s">
        <v>706</v>
      </c>
      <c r="O38" t="s">
        <v>707</v>
      </c>
      <c r="P38" t="str">
        <f t="shared" si="2"/>
        <v>UPDATE CardPool SET cards_Display_Order = 'SET002_037' WHERE CardCode = 'SL2E-037';</v>
      </c>
    </row>
    <row r="39" spans="1:16" x14ac:dyDescent="0.25">
      <c r="A39" t="s">
        <v>41</v>
      </c>
      <c r="B39" t="s">
        <v>137</v>
      </c>
      <c r="C39" t="s">
        <v>138</v>
      </c>
      <c r="D39" t="s">
        <v>192</v>
      </c>
      <c r="E39" t="s">
        <v>204</v>
      </c>
      <c r="F39" s="1" t="s">
        <v>205</v>
      </c>
      <c r="G39" s="1" t="s">
        <v>206</v>
      </c>
      <c r="H39" s="1" t="s">
        <v>359</v>
      </c>
      <c r="I39" t="str">
        <f t="shared" si="0"/>
        <v>('SL2E-038','SL2E','C','DUNGEON JAKAL'),</v>
      </c>
      <c r="J39" t="s">
        <v>708</v>
      </c>
      <c r="K39" s="2" t="s">
        <v>594</v>
      </c>
      <c r="L39" s="3" t="str">
        <f t="shared" si="1"/>
        <v>SET002_038</v>
      </c>
      <c r="M39" t="s">
        <v>705</v>
      </c>
      <c r="N39" t="s">
        <v>706</v>
      </c>
      <c r="O39" t="s">
        <v>707</v>
      </c>
      <c r="P39" t="str">
        <f t="shared" si="2"/>
        <v>UPDATE CardPool SET cards_Display_Order = 'SET002_038' WHERE CardCode = 'SL2E-038';</v>
      </c>
    </row>
    <row r="40" spans="1:16" x14ac:dyDescent="0.25">
      <c r="A40" t="s">
        <v>42</v>
      </c>
      <c r="B40" t="s">
        <v>137</v>
      </c>
      <c r="C40" t="s">
        <v>138</v>
      </c>
      <c r="D40" t="s">
        <v>193</v>
      </c>
      <c r="E40" t="s">
        <v>204</v>
      </c>
      <c r="F40" s="1" t="s">
        <v>205</v>
      </c>
      <c r="G40" s="1" t="s">
        <v>206</v>
      </c>
      <c r="H40" s="1" t="s">
        <v>359</v>
      </c>
      <c r="I40" t="str">
        <f t="shared" si="0"/>
        <v>('SL2E-039','SL2E','C','HIGH ORC'),</v>
      </c>
      <c r="J40" t="s">
        <v>708</v>
      </c>
      <c r="K40" s="2" t="s">
        <v>595</v>
      </c>
      <c r="L40" s="3" t="str">
        <f t="shared" si="1"/>
        <v>SET002_039</v>
      </c>
      <c r="M40" t="s">
        <v>705</v>
      </c>
      <c r="N40" t="s">
        <v>706</v>
      </c>
      <c r="O40" t="s">
        <v>707</v>
      </c>
      <c r="P40" t="str">
        <f t="shared" si="2"/>
        <v>UPDATE CardPool SET cards_Display_Order = 'SET002_039' WHERE CardCode = 'SL2E-039';</v>
      </c>
    </row>
    <row r="41" spans="1:16" x14ac:dyDescent="0.25">
      <c r="A41" t="s">
        <v>43</v>
      </c>
      <c r="B41" t="s">
        <v>137</v>
      </c>
      <c r="C41" t="s">
        <v>138</v>
      </c>
      <c r="D41" t="s">
        <v>194</v>
      </c>
      <c r="E41" t="s">
        <v>204</v>
      </c>
      <c r="F41" s="1" t="s">
        <v>205</v>
      </c>
      <c r="G41" s="1" t="s">
        <v>206</v>
      </c>
      <c r="H41" s="1" t="s">
        <v>359</v>
      </c>
      <c r="I41" t="str">
        <f t="shared" si="0"/>
        <v>('SL2E-040','SL2E','C','KARGALGAN'),</v>
      </c>
      <c r="J41" t="s">
        <v>708</v>
      </c>
      <c r="K41" s="2" t="s">
        <v>596</v>
      </c>
      <c r="L41" s="3" t="str">
        <f t="shared" si="1"/>
        <v>SET002_040</v>
      </c>
      <c r="M41" t="s">
        <v>705</v>
      </c>
      <c r="N41" t="s">
        <v>706</v>
      </c>
      <c r="O41" t="s">
        <v>707</v>
      </c>
      <c r="P41" t="str">
        <f t="shared" si="2"/>
        <v>UPDATE CardPool SET cards_Display_Order = 'SET002_040' WHERE CardCode = 'SL2E-040';</v>
      </c>
    </row>
    <row r="42" spans="1:16" x14ac:dyDescent="0.25">
      <c r="A42" t="s">
        <v>44</v>
      </c>
      <c r="B42" t="s">
        <v>137</v>
      </c>
      <c r="C42" t="s">
        <v>139</v>
      </c>
      <c r="D42" t="s">
        <v>155</v>
      </c>
      <c r="E42" t="s">
        <v>204</v>
      </c>
      <c r="F42" s="1" t="s">
        <v>205</v>
      </c>
      <c r="G42" s="1" t="s">
        <v>206</v>
      </c>
      <c r="H42" s="1" t="s">
        <v>359</v>
      </c>
      <c r="I42" t="str">
        <f t="shared" si="0"/>
        <v>('SL2E-041','SL2E','R','SUNG JINWOO'),</v>
      </c>
      <c r="J42" t="s">
        <v>708</v>
      </c>
      <c r="K42" s="2" t="s">
        <v>597</v>
      </c>
      <c r="L42" s="3" t="str">
        <f t="shared" si="1"/>
        <v>SET002_041</v>
      </c>
      <c r="M42" t="s">
        <v>705</v>
      </c>
      <c r="N42" t="s">
        <v>706</v>
      </c>
      <c r="O42" t="s">
        <v>707</v>
      </c>
      <c r="P42" t="str">
        <f t="shared" si="2"/>
        <v>UPDATE CardPool SET cards_Display_Order = 'SET002_041' WHERE CardCode = 'SL2E-041';</v>
      </c>
    </row>
    <row r="43" spans="1:16" x14ac:dyDescent="0.25">
      <c r="A43" t="s">
        <v>45</v>
      </c>
      <c r="B43" t="s">
        <v>137</v>
      </c>
      <c r="C43" t="s">
        <v>139</v>
      </c>
      <c r="D43" t="s">
        <v>156</v>
      </c>
      <c r="E43" t="s">
        <v>204</v>
      </c>
      <c r="F43" s="1" t="s">
        <v>205</v>
      </c>
      <c r="G43" s="1" t="s">
        <v>206</v>
      </c>
      <c r="H43" s="1" t="s">
        <v>359</v>
      </c>
      <c r="I43" t="str">
        <f t="shared" si="0"/>
        <v>('SL2E-042','SL2E','R','YOO JINHO'),</v>
      </c>
      <c r="J43" t="s">
        <v>708</v>
      </c>
      <c r="K43" s="2" t="s">
        <v>598</v>
      </c>
      <c r="L43" s="3" t="str">
        <f t="shared" si="1"/>
        <v>SET002_042</v>
      </c>
      <c r="M43" t="s">
        <v>705</v>
      </c>
      <c r="N43" t="s">
        <v>706</v>
      </c>
      <c r="O43" t="s">
        <v>707</v>
      </c>
      <c r="P43" t="str">
        <f t="shared" si="2"/>
        <v>UPDATE CardPool SET cards_Display_Order = 'SET002_042' WHERE CardCode = 'SL2E-042';</v>
      </c>
    </row>
    <row r="44" spans="1:16" x14ac:dyDescent="0.25">
      <c r="A44" t="s">
        <v>46</v>
      </c>
      <c r="B44" t="s">
        <v>137</v>
      </c>
      <c r="C44" t="s">
        <v>139</v>
      </c>
      <c r="D44" t="s">
        <v>157</v>
      </c>
      <c r="E44" t="s">
        <v>204</v>
      </c>
      <c r="F44" s="1" t="s">
        <v>205</v>
      </c>
      <c r="G44" s="1" t="s">
        <v>206</v>
      </c>
      <c r="H44" s="1" t="s">
        <v>359</v>
      </c>
      <c r="I44" t="str">
        <f t="shared" si="0"/>
        <v>('SL2E-043','SL2E','R','BAEK YOONHO'),</v>
      </c>
      <c r="J44" t="s">
        <v>708</v>
      </c>
      <c r="K44" s="2" t="s">
        <v>599</v>
      </c>
      <c r="L44" s="3" t="str">
        <f t="shared" si="1"/>
        <v>SET002_043</v>
      </c>
      <c r="M44" t="s">
        <v>705</v>
      </c>
      <c r="N44" t="s">
        <v>706</v>
      </c>
      <c r="O44" t="s">
        <v>707</v>
      </c>
      <c r="P44" t="str">
        <f t="shared" si="2"/>
        <v>UPDATE CardPool SET cards_Display_Order = 'SET002_043' WHERE CardCode = 'SL2E-043';</v>
      </c>
    </row>
    <row r="45" spans="1:16" x14ac:dyDescent="0.25">
      <c r="A45" t="s">
        <v>47</v>
      </c>
      <c r="B45" t="s">
        <v>137</v>
      </c>
      <c r="C45" t="s">
        <v>139</v>
      </c>
      <c r="D45" t="s">
        <v>158</v>
      </c>
      <c r="E45" t="s">
        <v>204</v>
      </c>
      <c r="F45" s="1" t="s">
        <v>205</v>
      </c>
      <c r="G45" s="1" t="s">
        <v>206</v>
      </c>
      <c r="H45" s="1" t="s">
        <v>359</v>
      </c>
      <c r="I45" t="str">
        <f t="shared" si="0"/>
        <v>('SL2E-044','SL2E','R','CHOI JONG-IN'),</v>
      </c>
      <c r="J45" t="s">
        <v>708</v>
      </c>
      <c r="K45" s="2" t="s">
        <v>600</v>
      </c>
      <c r="L45" s="3" t="str">
        <f t="shared" si="1"/>
        <v>SET002_044</v>
      </c>
      <c r="M45" t="s">
        <v>705</v>
      </c>
      <c r="N45" t="s">
        <v>706</v>
      </c>
      <c r="O45" t="s">
        <v>707</v>
      </c>
      <c r="P45" t="str">
        <f t="shared" si="2"/>
        <v>UPDATE CardPool SET cards_Display_Order = 'SET002_044' WHERE CardCode = 'SL2E-044';</v>
      </c>
    </row>
    <row r="46" spans="1:16" x14ac:dyDescent="0.25">
      <c r="A46" t="s">
        <v>48</v>
      </c>
      <c r="B46" t="s">
        <v>137</v>
      </c>
      <c r="C46" t="s">
        <v>139</v>
      </c>
      <c r="D46" t="s">
        <v>159</v>
      </c>
      <c r="E46" t="s">
        <v>204</v>
      </c>
      <c r="F46" s="1" t="s">
        <v>205</v>
      </c>
      <c r="G46" s="1" t="s">
        <v>206</v>
      </c>
      <c r="H46" s="1" t="s">
        <v>359</v>
      </c>
      <c r="I46" t="str">
        <f t="shared" si="0"/>
        <v>('SL2E-045','SL2E','R','CHA HAE-IN'),</v>
      </c>
      <c r="J46" t="s">
        <v>708</v>
      </c>
      <c r="K46" s="2" t="s">
        <v>601</v>
      </c>
      <c r="L46" s="3" t="str">
        <f t="shared" si="1"/>
        <v>SET002_045</v>
      </c>
      <c r="M46" t="s">
        <v>705</v>
      </c>
      <c r="N46" t="s">
        <v>706</v>
      </c>
      <c r="O46" t="s">
        <v>707</v>
      </c>
      <c r="P46" t="str">
        <f t="shared" si="2"/>
        <v>UPDATE CardPool SET cards_Display_Order = 'SET002_045' WHERE CardCode = 'SL2E-045';</v>
      </c>
    </row>
    <row r="47" spans="1:16" x14ac:dyDescent="0.25">
      <c r="A47" t="s">
        <v>49</v>
      </c>
      <c r="B47" t="s">
        <v>137</v>
      </c>
      <c r="C47" t="s">
        <v>139</v>
      </c>
      <c r="D47" t="s">
        <v>161</v>
      </c>
      <c r="E47" t="s">
        <v>204</v>
      </c>
      <c r="F47" s="1" t="s">
        <v>205</v>
      </c>
      <c r="G47" s="1" t="s">
        <v>206</v>
      </c>
      <c r="H47" s="1" t="s">
        <v>359</v>
      </c>
      <c r="I47" t="str">
        <f t="shared" si="0"/>
        <v>('SL2E-046','SL2E','R','GO GUNHEE'),</v>
      </c>
      <c r="J47" t="s">
        <v>708</v>
      </c>
      <c r="K47" s="2" t="s">
        <v>602</v>
      </c>
      <c r="L47" s="3" t="str">
        <f t="shared" si="1"/>
        <v>SET002_046</v>
      </c>
      <c r="M47" t="s">
        <v>705</v>
      </c>
      <c r="N47" t="s">
        <v>706</v>
      </c>
      <c r="O47" t="s">
        <v>707</v>
      </c>
      <c r="P47" t="str">
        <f t="shared" si="2"/>
        <v>UPDATE CardPool SET cards_Display_Order = 'SET002_046' WHERE CardCode = 'SL2E-046';</v>
      </c>
    </row>
    <row r="48" spans="1:16" x14ac:dyDescent="0.25">
      <c r="A48" t="s">
        <v>50</v>
      </c>
      <c r="B48" t="s">
        <v>137</v>
      </c>
      <c r="C48" t="s">
        <v>139</v>
      </c>
      <c r="D48" t="s">
        <v>160</v>
      </c>
      <c r="E48" t="s">
        <v>204</v>
      </c>
      <c r="F48" s="1" t="s">
        <v>205</v>
      </c>
      <c r="G48" s="1" t="s">
        <v>206</v>
      </c>
      <c r="H48" s="1" t="s">
        <v>359</v>
      </c>
      <c r="I48" t="str">
        <f t="shared" si="0"/>
        <v>('SL2E-047','SL2E','R','WOO JINCHUL'),</v>
      </c>
      <c r="J48" t="s">
        <v>708</v>
      </c>
      <c r="K48" s="2" t="s">
        <v>603</v>
      </c>
      <c r="L48" s="3" t="str">
        <f t="shared" si="1"/>
        <v>SET002_047</v>
      </c>
      <c r="M48" t="s">
        <v>705</v>
      </c>
      <c r="N48" t="s">
        <v>706</v>
      </c>
      <c r="O48" t="s">
        <v>707</v>
      </c>
      <c r="P48" t="str">
        <f t="shared" si="2"/>
        <v>UPDATE CardPool SET cards_Display_Order = 'SET002_047' WHERE CardCode = 'SL2E-047';</v>
      </c>
    </row>
    <row r="49" spans="1:16" x14ac:dyDescent="0.25">
      <c r="A49" t="s">
        <v>51</v>
      </c>
      <c r="B49" t="s">
        <v>137</v>
      </c>
      <c r="C49" t="s">
        <v>139</v>
      </c>
      <c r="D49" t="s">
        <v>162</v>
      </c>
      <c r="E49" t="s">
        <v>204</v>
      </c>
      <c r="F49" s="1" t="s">
        <v>205</v>
      </c>
      <c r="G49" s="1" t="s">
        <v>206</v>
      </c>
      <c r="H49" s="1" t="s">
        <v>359</v>
      </c>
      <c r="I49" t="str">
        <f t="shared" si="0"/>
        <v>('SL2E-048','SL2E','R','SUNG JINAH'),</v>
      </c>
      <c r="J49" t="s">
        <v>708</v>
      </c>
      <c r="K49" s="2" t="s">
        <v>604</v>
      </c>
      <c r="L49" s="3" t="str">
        <f t="shared" si="1"/>
        <v>SET002_048</v>
      </c>
      <c r="M49" t="s">
        <v>705</v>
      </c>
      <c r="N49" t="s">
        <v>706</v>
      </c>
      <c r="O49" t="s">
        <v>707</v>
      </c>
      <c r="P49" t="str">
        <f t="shared" si="2"/>
        <v>UPDATE CardPool SET cards_Display_Order = 'SET002_048' WHERE CardCode = 'SL2E-048';</v>
      </c>
    </row>
    <row r="50" spans="1:16" x14ac:dyDescent="0.25">
      <c r="A50" t="s">
        <v>52</v>
      </c>
      <c r="B50" t="s">
        <v>137</v>
      </c>
      <c r="C50" t="s">
        <v>139</v>
      </c>
      <c r="D50" t="s">
        <v>163</v>
      </c>
      <c r="E50" t="s">
        <v>204</v>
      </c>
      <c r="F50" s="1" t="s">
        <v>205</v>
      </c>
      <c r="G50" s="1" t="s">
        <v>206</v>
      </c>
      <c r="H50" s="1" t="s">
        <v>359</v>
      </c>
      <c r="I50" t="str">
        <f t="shared" si="0"/>
        <v>('SL2E-049','SL2E','R','SUNG IL-HWAN'),</v>
      </c>
      <c r="J50" t="s">
        <v>708</v>
      </c>
      <c r="K50" s="2" t="s">
        <v>605</v>
      </c>
      <c r="L50" s="3" t="str">
        <f t="shared" si="1"/>
        <v>SET002_049</v>
      </c>
      <c r="M50" t="s">
        <v>705</v>
      </c>
      <c r="N50" t="s">
        <v>706</v>
      </c>
      <c r="O50" t="s">
        <v>707</v>
      </c>
      <c r="P50" t="str">
        <f t="shared" si="2"/>
        <v>UPDATE CardPool SET cards_Display_Order = 'SET002_049' WHERE CardCode = 'SL2E-049';</v>
      </c>
    </row>
    <row r="51" spans="1:16" x14ac:dyDescent="0.25">
      <c r="A51" t="s">
        <v>53</v>
      </c>
      <c r="B51" t="s">
        <v>137</v>
      </c>
      <c r="C51" t="s">
        <v>139</v>
      </c>
      <c r="D51" t="s">
        <v>164</v>
      </c>
      <c r="E51" t="s">
        <v>204</v>
      </c>
      <c r="F51" s="1" t="s">
        <v>205</v>
      </c>
      <c r="G51" s="1" t="s">
        <v>206</v>
      </c>
      <c r="H51" s="1" t="s">
        <v>359</v>
      </c>
      <c r="I51" t="str">
        <f t="shared" si="0"/>
        <v>('SL2E-050','SL2E','R','HAN SONG-YI'),</v>
      </c>
      <c r="J51" t="s">
        <v>708</v>
      </c>
      <c r="K51" s="2" t="s">
        <v>606</v>
      </c>
      <c r="L51" s="3" t="str">
        <f t="shared" si="1"/>
        <v>SET002_050</v>
      </c>
      <c r="M51" t="s">
        <v>705</v>
      </c>
      <c r="N51" t="s">
        <v>706</v>
      </c>
      <c r="O51" t="s">
        <v>707</v>
      </c>
      <c r="P51" t="str">
        <f t="shared" si="2"/>
        <v>UPDATE CardPool SET cards_Display_Order = 'SET002_050' WHERE CardCode = 'SL2E-050';</v>
      </c>
    </row>
    <row r="52" spans="1:16" x14ac:dyDescent="0.25">
      <c r="A52" t="s">
        <v>54</v>
      </c>
      <c r="B52" t="s">
        <v>137</v>
      </c>
      <c r="C52" t="s">
        <v>139</v>
      </c>
      <c r="D52" t="s">
        <v>165</v>
      </c>
      <c r="E52" t="s">
        <v>204</v>
      </c>
      <c r="F52" s="1" t="s">
        <v>205</v>
      </c>
      <c r="G52" s="1" t="s">
        <v>206</v>
      </c>
      <c r="H52" s="1" t="s">
        <v>359</v>
      </c>
      <c r="I52" t="str">
        <f t="shared" si="0"/>
        <v>('SL2E-051','SL2E','R','SON KIHOON'),</v>
      </c>
      <c r="J52" t="s">
        <v>708</v>
      </c>
      <c r="K52" s="2" t="s">
        <v>607</v>
      </c>
      <c r="L52" s="3" t="str">
        <f t="shared" si="1"/>
        <v>SET002_051</v>
      </c>
      <c r="M52" t="s">
        <v>705</v>
      </c>
      <c r="N52" t="s">
        <v>706</v>
      </c>
      <c r="O52" t="s">
        <v>707</v>
      </c>
      <c r="P52" t="str">
        <f t="shared" si="2"/>
        <v>UPDATE CardPool SET cards_Display_Order = 'SET002_051' WHERE CardCode = 'SL2E-051';</v>
      </c>
    </row>
    <row r="53" spans="1:16" x14ac:dyDescent="0.25">
      <c r="A53" t="s">
        <v>55</v>
      </c>
      <c r="B53" t="s">
        <v>137</v>
      </c>
      <c r="C53" t="s">
        <v>139</v>
      </c>
      <c r="D53" t="s">
        <v>166</v>
      </c>
      <c r="E53" t="s">
        <v>204</v>
      </c>
      <c r="F53" s="1" t="s">
        <v>205</v>
      </c>
      <c r="G53" s="1" t="s">
        <v>206</v>
      </c>
      <c r="H53" s="1" t="s">
        <v>359</v>
      </c>
      <c r="I53" t="str">
        <f t="shared" si="0"/>
        <v>('SL2E-052','SL2E','R','GINA'),</v>
      </c>
      <c r="J53" t="s">
        <v>708</v>
      </c>
      <c r="K53" s="2" t="s">
        <v>608</v>
      </c>
      <c r="L53" s="3" t="str">
        <f t="shared" si="1"/>
        <v>SET002_052</v>
      </c>
      <c r="M53" t="s">
        <v>705</v>
      </c>
      <c r="N53" t="s">
        <v>706</v>
      </c>
      <c r="O53" t="s">
        <v>707</v>
      </c>
      <c r="P53" t="str">
        <f t="shared" si="2"/>
        <v>UPDATE CardPool SET cards_Display_Order = 'SET002_052' WHERE CardCode = 'SL2E-052';</v>
      </c>
    </row>
    <row r="54" spans="1:16" x14ac:dyDescent="0.25">
      <c r="A54" t="s">
        <v>56</v>
      </c>
      <c r="B54" t="s">
        <v>137</v>
      </c>
      <c r="C54" t="s">
        <v>139</v>
      </c>
      <c r="D54" t="s">
        <v>167</v>
      </c>
      <c r="E54" t="s">
        <v>204</v>
      </c>
      <c r="F54" s="1" t="s">
        <v>205</v>
      </c>
      <c r="G54" s="1" t="s">
        <v>206</v>
      </c>
      <c r="H54" s="1" t="s">
        <v>359</v>
      </c>
      <c r="I54" t="str">
        <f t="shared" si="0"/>
        <v>('SL2E-053','SL2E','R','LEE BORA'),</v>
      </c>
      <c r="J54" t="s">
        <v>708</v>
      </c>
      <c r="K54" s="2" t="s">
        <v>609</v>
      </c>
      <c r="L54" s="3" t="str">
        <f t="shared" si="1"/>
        <v>SET002_053</v>
      </c>
      <c r="M54" t="s">
        <v>705</v>
      </c>
      <c r="N54" t="s">
        <v>706</v>
      </c>
      <c r="O54" t="s">
        <v>707</v>
      </c>
      <c r="P54" t="str">
        <f t="shared" si="2"/>
        <v>UPDATE CardPool SET cards_Display_Order = 'SET002_053' WHERE CardCode = 'SL2E-053';</v>
      </c>
    </row>
    <row r="55" spans="1:16" x14ac:dyDescent="0.25">
      <c r="A55" t="s">
        <v>57</v>
      </c>
      <c r="B55" t="s">
        <v>137</v>
      </c>
      <c r="C55" t="s">
        <v>139</v>
      </c>
      <c r="D55" t="s">
        <v>168</v>
      </c>
      <c r="E55" t="s">
        <v>204</v>
      </c>
      <c r="F55" s="1" t="s">
        <v>205</v>
      </c>
      <c r="G55" s="1" t="s">
        <v>206</v>
      </c>
      <c r="H55" s="1" t="s">
        <v>359</v>
      </c>
      <c r="I55" t="str">
        <f t="shared" si="0"/>
        <v>('SL2E-054','SL2E','R','HAN SEMI'),</v>
      </c>
      <c r="J55" t="s">
        <v>708</v>
      </c>
      <c r="K55" s="2" t="s">
        <v>610</v>
      </c>
      <c r="L55" s="3" t="str">
        <f t="shared" si="1"/>
        <v>SET002_054</v>
      </c>
      <c r="M55" t="s">
        <v>705</v>
      </c>
      <c r="N55" t="s">
        <v>706</v>
      </c>
      <c r="O55" t="s">
        <v>707</v>
      </c>
      <c r="P55" t="str">
        <f t="shared" si="2"/>
        <v>UPDATE CardPool SET cards_Display_Order = 'SET002_054' WHERE CardCode = 'SL2E-054';</v>
      </c>
    </row>
    <row r="56" spans="1:16" x14ac:dyDescent="0.25">
      <c r="A56" t="s">
        <v>58</v>
      </c>
      <c r="B56" t="s">
        <v>137</v>
      </c>
      <c r="C56" t="s">
        <v>139</v>
      </c>
      <c r="D56" t="s">
        <v>169</v>
      </c>
      <c r="E56" t="s">
        <v>204</v>
      </c>
      <c r="F56" s="1" t="s">
        <v>205</v>
      </c>
      <c r="G56" s="1" t="s">
        <v>206</v>
      </c>
      <c r="H56" s="1" t="s">
        <v>359</v>
      </c>
      <c r="I56" t="str">
        <f t="shared" si="0"/>
        <v>('SL2E-055','SL2E','R','MYUNG-CHUL'),</v>
      </c>
      <c r="J56" t="s">
        <v>708</v>
      </c>
      <c r="K56" s="2" t="s">
        <v>611</v>
      </c>
      <c r="L56" s="3" t="str">
        <f t="shared" si="1"/>
        <v>SET002_055</v>
      </c>
      <c r="M56" t="s">
        <v>705</v>
      </c>
      <c r="N56" t="s">
        <v>706</v>
      </c>
      <c r="O56" t="s">
        <v>707</v>
      </c>
      <c r="P56" t="str">
        <f t="shared" si="2"/>
        <v>UPDATE CardPool SET cards_Display_Order = 'SET002_055' WHERE CardCode = 'SL2E-055';</v>
      </c>
    </row>
    <row r="57" spans="1:16" x14ac:dyDescent="0.25">
      <c r="A57" t="s">
        <v>59</v>
      </c>
      <c r="B57" t="s">
        <v>137</v>
      </c>
      <c r="C57" t="s">
        <v>139</v>
      </c>
      <c r="D57" t="s">
        <v>170</v>
      </c>
      <c r="E57" t="s">
        <v>204</v>
      </c>
      <c r="F57" s="1" t="s">
        <v>205</v>
      </c>
      <c r="G57" s="1" t="s">
        <v>206</v>
      </c>
      <c r="H57" s="1" t="s">
        <v>359</v>
      </c>
      <c r="I57" t="str">
        <f t="shared" si="0"/>
        <v>('SL2E-056','SL2E','R','LEE GEONGUK'),</v>
      </c>
      <c r="J57" t="s">
        <v>708</v>
      </c>
      <c r="K57" s="2" t="s">
        <v>612</v>
      </c>
      <c r="L57" s="3" t="str">
        <f t="shared" si="1"/>
        <v>SET002_056</v>
      </c>
      <c r="M57" t="s">
        <v>705</v>
      </c>
      <c r="N57" t="s">
        <v>706</v>
      </c>
      <c r="O57" t="s">
        <v>707</v>
      </c>
      <c r="P57" t="str">
        <f t="shared" si="2"/>
        <v>UPDATE CardPool SET cards_Display_Order = 'SET002_056' WHERE CardCode = 'SL2E-056';</v>
      </c>
    </row>
    <row r="58" spans="1:16" x14ac:dyDescent="0.25">
      <c r="A58" t="s">
        <v>60</v>
      </c>
      <c r="B58" t="s">
        <v>137</v>
      </c>
      <c r="C58" t="s">
        <v>139</v>
      </c>
      <c r="D58" t="s">
        <v>171</v>
      </c>
      <c r="E58" t="s">
        <v>204</v>
      </c>
      <c r="F58" s="1" t="s">
        <v>205</v>
      </c>
      <c r="G58" s="1" t="s">
        <v>206</v>
      </c>
      <c r="H58" s="1" t="s">
        <v>359</v>
      </c>
      <c r="I58" t="str">
        <f t="shared" si="0"/>
        <v>('SL2E-057','SL2E','R','SHIN SUKJIN'),</v>
      </c>
      <c r="J58" t="s">
        <v>708</v>
      </c>
      <c r="K58" s="2" t="s">
        <v>613</v>
      </c>
      <c r="L58" s="3" t="str">
        <f t="shared" si="1"/>
        <v>SET002_057</v>
      </c>
      <c r="M58" t="s">
        <v>705</v>
      </c>
      <c r="N58" t="s">
        <v>706</v>
      </c>
      <c r="O58" t="s">
        <v>707</v>
      </c>
      <c r="P58" t="str">
        <f t="shared" si="2"/>
        <v>UPDATE CardPool SET cards_Display_Order = 'SET002_057' WHERE CardCode = 'SL2E-057';</v>
      </c>
    </row>
    <row r="59" spans="1:16" x14ac:dyDescent="0.25">
      <c r="A59" t="s">
        <v>61</v>
      </c>
      <c r="B59" t="s">
        <v>137</v>
      </c>
      <c r="C59" t="s">
        <v>139</v>
      </c>
      <c r="D59" t="s">
        <v>172</v>
      </c>
      <c r="E59" t="s">
        <v>204</v>
      </c>
      <c r="F59" s="1" t="s">
        <v>205</v>
      </c>
      <c r="G59" s="1" t="s">
        <v>206</v>
      </c>
      <c r="H59" s="1" t="s">
        <v>359</v>
      </c>
      <c r="I59" t="str">
        <f t="shared" si="0"/>
        <v>('SL2E-058','SL2E','R','SEO JIWOO'),</v>
      </c>
      <c r="J59" t="s">
        <v>708</v>
      </c>
      <c r="K59" s="2" t="s">
        <v>614</v>
      </c>
      <c r="L59" s="3" t="str">
        <f t="shared" si="1"/>
        <v>SET002_058</v>
      </c>
      <c r="M59" t="s">
        <v>705</v>
      </c>
      <c r="N59" t="s">
        <v>706</v>
      </c>
      <c r="O59" t="s">
        <v>707</v>
      </c>
      <c r="P59" t="str">
        <f t="shared" si="2"/>
        <v>UPDATE CardPool SET cards_Display_Order = 'SET002_058' WHERE CardCode = 'SL2E-058';</v>
      </c>
    </row>
    <row r="60" spans="1:16" x14ac:dyDescent="0.25">
      <c r="A60" t="s">
        <v>62</v>
      </c>
      <c r="B60" t="s">
        <v>137</v>
      </c>
      <c r="C60" t="s">
        <v>139</v>
      </c>
      <c r="D60" t="s">
        <v>173</v>
      </c>
      <c r="E60" t="s">
        <v>204</v>
      </c>
      <c r="F60" s="1" t="s">
        <v>205</v>
      </c>
      <c r="G60" s="1" t="s">
        <v>206</v>
      </c>
      <c r="H60" s="1" t="s">
        <v>359</v>
      </c>
      <c r="I60" t="str">
        <f t="shared" si="0"/>
        <v>('SL2E-059','SL2E','R','KIM EUNSU'),</v>
      </c>
      <c r="J60" t="s">
        <v>708</v>
      </c>
      <c r="K60" s="2" t="s">
        <v>615</v>
      </c>
      <c r="L60" s="3" t="str">
        <f t="shared" si="1"/>
        <v>SET002_059</v>
      </c>
      <c r="M60" t="s">
        <v>705</v>
      </c>
      <c r="N60" t="s">
        <v>706</v>
      </c>
      <c r="O60" t="s">
        <v>707</v>
      </c>
      <c r="P60" t="str">
        <f t="shared" si="2"/>
        <v>UPDATE CardPool SET cards_Display_Order = 'SET002_059' WHERE CardCode = 'SL2E-059';</v>
      </c>
    </row>
    <row r="61" spans="1:16" x14ac:dyDescent="0.25">
      <c r="A61" t="s">
        <v>63</v>
      </c>
      <c r="B61" t="s">
        <v>137</v>
      </c>
      <c r="C61" t="s">
        <v>139</v>
      </c>
      <c r="D61" t="s">
        <v>174</v>
      </c>
      <c r="E61" t="s">
        <v>204</v>
      </c>
      <c r="F61" s="1" t="s">
        <v>205</v>
      </c>
      <c r="G61" s="1" t="s">
        <v>206</v>
      </c>
      <c r="H61" s="1" t="s">
        <v>359</v>
      </c>
      <c r="I61" t="str">
        <f t="shared" si="0"/>
        <v>('SL2E-060','SL2E','R','HWANG DONGSOO'),</v>
      </c>
      <c r="J61" t="s">
        <v>708</v>
      </c>
      <c r="K61" s="2" t="s">
        <v>616</v>
      </c>
      <c r="L61" s="3" t="str">
        <f t="shared" si="1"/>
        <v>SET002_060</v>
      </c>
      <c r="M61" t="s">
        <v>705</v>
      </c>
      <c r="N61" t="s">
        <v>706</v>
      </c>
      <c r="O61" t="s">
        <v>707</v>
      </c>
      <c r="P61" t="str">
        <f t="shared" si="2"/>
        <v>UPDATE CardPool SET cards_Display_Order = 'SET002_060' WHERE CardCode = 'SL2E-060';</v>
      </c>
    </row>
    <row r="62" spans="1:16" x14ac:dyDescent="0.25">
      <c r="A62" t="s">
        <v>64</v>
      </c>
      <c r="B62" t="s">
        <v>137</v>
      </c>
      <c r="C62" t="s">
        <v>139</v>
      </c>
      <c r="D62" t="s">
        <v>184</v>
      </c>
      <c r="E62" t="s">
        <v>204</v>
      </c>
      <c r="F62" s="1" t="s">
        <v>205</v>
      </c>
      <c r="G62" s="1" t="s">
        <v>206</v>
      </c>
      <c r="H62" s="1" t="s">
        <v>359</v>
      </c>
      <c r="I62" t="str">
        <f t="shared" si="0"/>
        <v>('SL2E-061','SL2E','R','SHADOW SOLDIER'),</v>
      </c>
      <c r="J62" t="s">
        <v>708</v>
      </c>
      <c r="K62" s="2" t="s">
        <v>617</v>
      </c>
      <c r="L62" s="3" t="str">
        <f t="shared" si="1"/>
        <v>SET002_061</v>
      </c>
      <c r="M62" t="s">
        <v>705</v>
      </c>
      <c r="N62" t="s">
        <v>706</v>
      </c>
      <c r="O62" t="s">
        <v>707</v>
      </c>
      <c r="P62" t="str">
        <f t="shared" si="2"/>
        <v>UPDATE CardPool SET cards_Display_Order = 'SET002_061' WHERE CardCode = 'SL2E-061';</v>
      </c>
    </row>
    <row r="63" spans="1:16" x14ac:dyDescent="0.25">
      <c r="A63" t="s">
        <v>65</v>
      </c>
      <c r="B63" t="s">
        <v>137</v>
      </c>
      <c r="C63" t="s">
        <v>139</v>
      </c>
      <c r="D63" t="s">
        <v>195</v>
      </c>
      <c r="E63" t="s">
        <v>204</v>
      </c>
      <c r="F63" s="1" t="s">
        <v>205</v>
      </c>
      <c r="G63" s="1" t="s">
        <v>206</v>
      </c>
      <c r="H63" s="1" t="s">
        <v>359</v>
      </c>
      <c r="I63" t="str">
        <f t="shared" si="0"/>
        <v>('SL2E-062','SL2E','R','TANK'),</v>
      </c>
      <c r="J63" t="s">
        <v>708</v>
      </c>
      <c r="K63" s="2" t="s">
        <v>618</v>
      </c>
      <c r="L63" s="3" t="str">
        <f t="shared" si="1"/>
        <v>SET002_062</v>
      </c>
      <c r="M63" t="s">
        <v>705</v>
      </c>
      <c r="N63" t="s">
        <v>706</v>
      </c>
      <c r="O63" t="s">
        <v>707</v>
      </c>
      <c r="P63" t="str">
        <f t="shared" si="2"/>
        <v>UPDATE CardPool SET cards_Display_Order = 'SET002_062' WHERE CardCode = 'SL2E-062';</v>
      </c>
    </row>
    <row r="64" spans="1:16" x14ac:dyDescent="0.25">
      <c r="A64" t="s">
        <v>66</v>
      </c>
      <c r="B64" t="s">
        <v>137</v>
      </c>
      <c r="C64" t="s">
        <v>139</v>
      </c>
      <c r="D64" t="s">
        <v>196</v>
      </c>
      <c r="E64" t="s">
        <v>204</v>
      </c>
      <c r="F64" s="1" t="s">
        <v>205</v>
      </c>
      <c r="G64" s="1" t="s">
        <v>206</v>
      </c>
      <c r="H64" s="1" t="s">
        <v>359</v>
      </c>
      <c r="I64" t="str">
        <f t="shared" si="0"/>
        <v>('SL2E-063','SL2E','R','IRON'),</v>
      </c>
      <c r="J64" t="s">
        <v>708</v>
      </c>
      <c r="K64" s="2" t="s">
        <v>619</v>
      </c>
      <c r="L64" s="3" t="str">
        <f t="shared" si="1"/>
        <v>SET002_063</v>
      </c>
      <c r="M64" t="s">
        <v>705</v>
      </c>
      <c r="N64" t="s">
        <v>706</v>
      </c>
      <c r="O64" t="s">
        <v>707</v>
      </c>
      <c r="P64" t="str">
        <f t="shared" si="2"/>
        <v>UPDATE CardPool SET cards_Display_Order = 'SET002_063' WHERE CardCode = 'SL2E-063';</v>
      </c>
    </row>
    <row r="65" spans="1:16" x14ac:dyDescent="0.25">
      <c r="A65" t="s">
        <v>67</v>
      </c>
      <c r="B65" t="s">
        <v>137</v>
      </c>
      <c r="C65" t="s">
        <v>139</v>
      </c>
      <c r="D65" t="s">
        <v>185</v>
      </c>
      <c r="E65" t="s">
        <v>204</v>
      </c>
      <c r="F65" s="1" t="s">
        <v>205</v>
      </c>
      <c r="G65" s="1" t="s">
        <v>206</v>
      </c>
      <c r="H65" s="1" t="s">
        <v>359</v>
      </c>
      <c r="I65" t="str">
        <f t="shared" si="0"/>
        <v>('SL2E-064','SL2E','R','IGRIS'),</v>
      </c>
      <c r="J65" t="s">
        <v>708</v>
      </c>
      <c r="K65" s="2" t="s">
        <v>620</v>
      </c>
      <c r="L65" s="3" t="str">
        <f t="shared" si="1"/>
        <v>SET002_064</v>
      </c>
      <c r="M65" t="s">
        <v>705</v>
      </c>
      <c r="N65" t="s">
        <v>706</v>
      </c>
      <c r="O65" t="s">
        <v>707</v>
      </c>
      <c r="P65" t="str">
        <f t="shared" si="2"/>
        <v>UPDATE CardPool SET cards_Display_Order = 'SET002_064' WHERE CardCode = 'SL2E-064';</v>
      </c>
    </row>
    <row r="66" spans="1:16" x14ac:dyDescent="0.25">
      <c r="A66" t="s">
        <v>68</v>
      </c>
      <c r="B66" t="s">
        <v>137</v>
      </c>
      <c r="C66" t="s">
        <v>139</v>
      </c>
      <c r="D66" t="s">
        <v>188</v>
      </c>
      <c r="E66" t="s">
        <v>204</v>
      </c>
      <c r="F66" s="1" t="s">
        <v>205</v>
      </c>
      <c r="G66" s="1" t="s">
        <v>206</v>
      </c>
      <c r="H66" s="1" t="s">
        <v>359</v>
      </c>
      <c r="I66" t="str">
        <f t="shared" si="0"/>
        <v>('SL2E-065','SL2E','R','BARUKA'),</v>
      </c>
      <c r="J66" t="s">
        <v>708</v>
      </c>
      <c r="K66" s="2" t="s">
        <v>621</v>
      </c>
      <c r="L66" s="3" t="str">
        <f t="shared" si="1"/>
        <v>SET002_065</v>
      </c>
      <c r="M66" t="s">
        <v>705</v>
      </c>
      <c r="N66" t="s">
        <v>706</v>
      </c>
      <c r="O66" t="s">
        <v>707</v>
      </c>
      <c r="P66" t="str">
        <f t="shared" si="2"/>
        <v>UPDATE CardPool SET cards_Display_Order = 'SET002_065' WHERE CardCode = 'SL2E-065';</v>
      </c>
    </row>
    <row r="67" spans="1:16" x14ac:dyDescent="0.25">
      <c r="A67" t="s">
        <v>69</v>
      </c>
      <c r="B67" t="s">
        <v>137</v>
      </c>
      <c r="C67" t="s">
        <v>139</v>
      </c>
      <c r="D67" t="s">
        <v>190</v>
      </c>
      <c r="E67" t="s">
        <v>204</v>
      </c>
      <c r="F67" s="1" t="s">
        <v>205</v>
      </c>
      <c r="G67" s="1" t="s">
        <v>206</v>
      </c>
      <c r="H67" s="1" t="s">
        <v>359</v>
      </c>
      <c r="I67" t="str">
        <f t="shared" ref="I67:I130" si="3">CONCATENATE(E67,A67,F67,B67,F67,C67,F67,D67,G67,H67)</f>
        <v>('SL2E-066','SL2E','R','THE RULER OF THE LOWER FLOORS THE AVARICIOUS VULCAN'),</v>
      </c>
      <c r="J67" t="s">
        <v>708</v>
      </c>
      <c r="K67" s="2" t="s">
        <v>622</v>
      </c>
      <c r="L67" s="3" t="str">
        <f t="shared" ref="L67:L130" si="4">_xlfn.CONCAT(J67,"_",K67)</f>
        <v>SET002_066</v>
      </c>
      <c r="M67" t="s">
        <v>705</v>
      </c>
      <c r="N67" t="s">
        <v>706</v>
      </c>
      <c r="O67" t="s">
        <v>707</v>
      </c>
      <c r="P67" t="str">
        <f t="shared" ref="P67:P130" si="5">_xlfn.CONCAT(M67,L67,N67,A67,O67)</f>
        <v>UPDATE CardPool SET cards_Display_Order = 'SET002_066' WHERE CardCode = 'SL2E-066';</v>
      </c>
    </row>
    <row r="68" spans="1:16" x14ac:dyDescent="0.25">
      <c r="A68" t="s">
        <v>70</v>
      </c>
      <c r="B68" t="s">
        <v>137</v>
      </c>
      <c r="C68" t="s">
        <v>139</v>
      </c>
      <c r="D68" t="s">
        <v>193</v>
      </c>
      <c r="E68" t="s">
        <v>204</v>
      </c>
      <c r="F68" s="1" t="s">
        <v>205</v>
      </c>
      <c r="G68" s="1" t="s">
        <v>206</v>
      </c>
      <c r="H68" s="1" t="s">
        <v>359</v>
      </c>
      <c r="I68" t="str">
        <f t="shared" si="3"/>
        <v>('SL2E-067','SL2E','R','HIGH ORC'),</v>
      </c>
      <c r="J68" t="s">
        <v>708</v>
      </c>
      <c r="K68" s="2" t="s">
        <v>623</v>
      </c>
      <c r="L68" s="3" t="str">
        <f t="shared" si="4"/>
        <v>SET002_067</v>
      </c>
      <c r="M68" t="s">
        <v>705</v>
      </c>
      <c r="N68" t="s">
        <v>706</v>
      </c>
      <c r="O68" t="s">
        <v>707</v>
      </c>
      <c r="P68" t="str">
        <f t="shared" si="5"/>
        <v>UPDATE CardPool SET cards_Display_Order = 'SET002_067' WHERE CardCode = 'SL2E-067';</v>
      </c>
    </row>
    <row r="69" spans="1:16" x14ac:dyDescent="0.25">
      <c r="A69" t="s">
        <v>71</v>
      </c>
      <c r="B69" t="s">
        <v>137</v>
      </c>
      <c r="C69" t="s">
        <v>139</v>
      </c>
      <c r="D69" t="s">
        <v>194</v>
      </c>
      <c r="E69" t="s">
        <v>204</v>
      </c>
      <c r="F69" s="1" t="s">
        <v>205</v>
      </c>
      <c r="G69" s="1" t="s">
        <v>206</v>
      </c>
      <c r="H69" s="1" t="s">
        <v>359</v>
      </c>
      <c r="I69" t="str">
        <f t="shared" si="3"/>
        <v>('SL2E-068','SL2E','R','KARGALGAN'),</v>
      </c>
      <c r="J69" t="s">
        <v>708</v>
      </c>
      <c r="K69" s="2" t="s">
        <v>624</v>
      </c>
      <c r="L69" s="3" t="str">
        <f t="shared" si="4"/>
        <v>SET002_068</v>
      </c>
      <c r="M69" t="s">
        <v>705</v>
      </c>
      <c r="N69" t="s">
        <v>706</v>
      </c>
      <c r="O69" t="s">
        <v>707</v>
      </c>
      <c r="P69" t="str">
        <f t="shared" si="5"/>
        <v>UPDATE CardPool SET cards_Display_Order = 'SET002_068' WHERE CardCode = 'SL2E-068';</v>
      </c>
    </row>
    <row r="70" spans="1:16" x14ac:dyDescent="0.25">
      <c r="A70" t="s">
        <v>72</v>
      </c>
      <c r="B70" t="s">
        <v>137</v>
      </c>
      <c r="C70" t="s">
        <v>140</v>
      </c>
      <c r="D70" t="s">
        <v>155</v>
      </c>
      <c r="E70" t="s">
        <v>204</v>
      </c>
      <c r="F70" s="1" t="s">
        <v>205</v>
      </c>
      <c r="G70" s="1" t="s">
        <v>206</v>
      </c>
      <c r="H70" s="1" t="s">
        <v>359</v>
      </c>
      <c r="I70" t="str">
        <f t="shared" si="3"/>
        <v>('SL2E-069','SL2E','SR','SUNG JINWOO'),</v>
      </c>
      <c r="J70" t="s">
        <v>708</v>
      </c>
      <c r="K70" s="2" t="s">
        <v>625</v>
      </c>
      <c r="L70" s="3" t="str">
        <f t="shared" si="4"/>
        <v>SET002_069</v>
      </c>
      <c r="M70" t="s">
        <v>705</v>
      </c>
      <c r="N70" t="s">
        <v>706</v>
      </c>
      <c r="O70" t="s">
        <v>707</v>
      </c>
      <c r="P70" t="str">
        <f t="shared" si="5"/>
        <v>UPDATE CardPool SET cards_Display_Order = 'SET002_069' WHERE CardCode = 'SL2E-069';</v>
      </c>
    </row>
    <row r="71" spans="1:16" x14ac:dyDescent="0.25">
      <c r="A71" t="s">
        <v>73</v>
      </c>
      <c r="B71" t="s">
        <v>137</v>
      </c>
      <c r="C71" t="s">
        <v>140</v>
      </c>
      <c r="D71" t="s">
        <v>156</v>
      </c>
      <c r="E71" t="s">
        <v>204</v>
      </c>
      <c r="F71" s="1" t="s">
        <v>205</v>
      </c>
      <c r="G71" s="1" t="s">
        <v>206</v>
      </c>
      <c r="H71" s="1" t="s">
        <v>359</v>
      </c>
      <c r="I71" t="str">
        <f t="shared" si="3"/>
        <v>('SL2E-070','SL2E','SR','YOO JINHO'),</v>
      </c>
      <c r="J71" t="s">
        <v>708</v>
      </c>
      <c r="K71" s="2" t="s">
        <v>626</v>
      </c>
      <c r="L71" s="3" t="str">
        <f t="shared" si="4"/>
        <v>SET002_070</v>
      </c>
      <c r="M71" t="s">
        <v>705</v>
      </c>
      <c r="N71" t="s">
        <v>706</v>
      </c>
      <c r="O71" t="s">
        <v>707</v>
      </c>
      <c r="P71" t="str">
        <f t="shared" si="5"/>
        <v>UPDATE CardPool SET cards_Display_Order = 'SET002_070' WHERE CardCode = 'SL2E-070';</v>
      </c>
    </row>
    <row r="72" spans="1:16" x14ac:dyDescent="0.25">
      <c r="A72" t="s">
        <v>74</v>
      </c>
      <c r="B72" t="s">
        <v>137</v>
      </c>
      <c r="C72" t="s">
        <v>140</v>
      </c>
      <c r="D72" t="s">
        <v>159</v>
      </c>
      <c r="E72" t="s">
        <v>204</v>
      </c>
      <c r="F72" s="1" t="s">
        <v>205</v>
      </c>
      <c r="G72" s="1" t="s">
        <v>206</v>
      </c>
      <c r="H72" s="1" t="s">
        <v>359</v>
      </c>
      <c r="I72" t="str">
        <f t="shared" si="3"/>
        <v>('SL2E-071','SL2E','SR','CHA HAE-IN'),</v>
      </c>
      <c r="J72" t="s">
        <v>708</v>
      </c>
      <c r="K72" s="2" t="s">
        <v>627</v>
      </c>
      <c r="L72" s="3" t="str">
        <f t="shared" si="4"/>
        <v>SET002_071</v>
      </c>
      <c r="M72" t="s">
        <v>705</v>
      </c>
      <c r="N72" t="s">
        <v>706</v>
      </c>
      <c r="O72" t="s">
        <v>707</v>
      </c>
      <c r="P72" t="str">
        <f t="shared" si="5"/>
        <v>UPDATE CardPool SET cards_Display_Order = 'SET002_071' WHERE CardCode = 'SL2E-071';</v>
      </c>
    </row>
    <row r="73" spans="1:16" x14ac:dyDescent="0.25">
      <c r="A73" t="s">
        <v>75</v>
      </c>
      <c r="B73" t="s">
        <v>137</v>
      </c>
      <c r="C73" t="s">
        <v>140</v>
      </c>
      <c r="D73" t="s">
        <v>157</v>
      </c>
      <c r="E73" t="s">
        <v>204</v>
      </c>
      <c r="F73" s="1" t="s">
        <v>205</v>
      </c>
      <c r="G73" s="1" t="s">
        <v>206</v>
      </c>
      <c r="H73" s="1" t="s">
        <v>359</v>
      </c>
      <c r="I73" t="str">
        <f t="shared" si="3"/>
        <v>('SL2E-072','SL2E','SR','BAEK YOONHO'),</v>
      </c>
      <c r="J73" t="s">
        <v>708</v>
      </c>
      <c r="K73" s="2" t="s">
        <v>628</v>
      </c>
      <c r="L73" s="3" t="str">
        <f t="shared" si="4"/>
        <v>SET002_072</v>
      </c>
      <c r="M73" t="s">
        <v>705</v>
      </c>
      <c r="N73" t="s">
        <v>706</v>
      </c>
      <c r="O73" t="s">
        <v>707</v>
      </c>
      <c r="P73" t="str">
        <f t="shared" si="5"/>
        <v>UPDATE CardPool SET cards_Display_Order = 'SET002_072' WHERE CardCode = 'SL2E-072';</v>
      </c>
    </row>
    <row r="74" spans="1:16" x14ac:dyDescent="0.25">
      <c r="A74" t="s">
        <v>76</v>
      </c>
      <c r="B74" t="s">
        <v>137</v>
      </c>
      <c r="C74" t="s">
        <v>140</v>
      </c>
      <c r="D74" t="s">
        <v>158</v>
      </c>
      <c r="E74" t="s">
        <v>204</v>
      </c>
      <c r="F74" s="1" t="s">
        <v>205</v>
      </c>
      <c r="G74" s="1" t="s">
        <v>206</v>
      </c>
      <c r="H74" s="1" t="s">
        <v>359</v>
      </c>
      <c r="I74" t="str">
        <f t="shared" si="3"/>
        <v>('SL2E-073','SL2E','SR','CHOI JONG-IN'),</v>
      </c>
      <c r="J74" t="s">
        <v>708</v>
      </c>
      <c r="K74" s="2" t="s">
        <v>629</v>
      </c>
      <c r="L74" s="3" t="str">
        <f t="shared" si="4"/>
        <v>SET002_073</v>
      </c>
      <c r="M74" t="s">
        <v>705</v>
      </c>
      <c r="N74" t="s">
        <v>706</v>
      </c>
      <c r="O74" t="s">
        <v>707</v>
      </c>
      <c r="P74" t="str">
        <f t="shared" si="5"/>
        <v>UPDATE CardPool SET cards_Display_Order = 'SET002_073' WHERE CardCode = 'SL2E-073';</v>
      </c>
    </row>
    <row r="75" spans="1:16" x14ac:dyDescent="0.25">
      <c r="A75" t="s">
        <v>77</v>
      </c>
      <c r="B75" t="s">
        <v>137</v>
      </c>
      <c r="C75" t="s">
        <v>140</v>
      </c>
      <c r="D75" t="s">
        <v>161</v>
      </c>
      <c r="E75" t="s">
        <v>204</v>
      </c>
      <c r="F75" s="1" t="s">
        <v>205</v>
      </c>
      <c r="G75" s="1" t="s">
        <v>206</v>
      </c>
      <c r="H75" s="1" t="s">
        <v>359</v>
      </c>
      <c r="I75" t="str">
        <f t="shared" si="3"/>
        <v>('SL2E-074','SL2E','SR','GO GUNHEE'),</v>
      </c>
      <c r="J75" t="s">
        <v>708</v>
      </c>
      <c r="K75" s="2" t="s">
        <v>630</v>
      </c>
      <c r="L75" s="3" t="str">
        <f t="shared" si="4"/>
        <v>SET002_074</v>
      </c>
      <c r="M75" t="s">
        <v>705</v>
      </c>
      <c r="N75" t="s">
        <v>706</v>
      </c>
      <c r="O75" t="s">
        <v>707</v>
      </c>
      <c r="P75" t="str">
        <f t="shared" si="5"/>
        <v>UPDATE CardPool SET cards_Display_Order = 'SET002_074' WHERE CardCode = 'SL2E-074';</v>
      </c>
    </row>
    <row r="76" spans="1:16" x14ac:dyDescent="0.25">
      <c r="A76" t="s">
        <v>78</v>
      </c>
      <c r="B76" t="s">
        <v>137</v>
      </c>
      <c r="C76" t="s">
        <v>140</v>
      </c>
      <c r="D76" t="s">
        <v>160</v>
      </c>
      <c r="E76" t="s">
        <v>204</v>
      </c>
      <c r="F76" s="1" t="s">
        <v>205</v>
      </c>
      <c r="G76" s="1" t="s">
        <v>206</v>
      </c>
      <c r="H76" s="1" t="s">
        <v>359</v>
      </c>
      <c r="I76" t="str">
        <f t="shared" si="3"/>
        <v>('SL2E-075','SL2E','SR','WOO JINCHUL'),</v>
      </c>
      <c r="J76" t="s">
        <v>708</v>
      </c>
      <c r="K76" s="2" t="s">
        <v>631</v>
      </c>
      <c r="L76" s="3" t="str">
        <f t="shared" si="4"/>
        <v>SET002_075</v>
      </c>
      <c r="M76" t="s">
        <v>705</v>
      </c>
      <c r="N76" t="s">
        <v>706</v>
      </c>
      <c r="O76" t="s">
        <v>707</v>
      </c>
      <c r="P76" t="str">
        <f t="shared" si="5"/>
        <v>UPDATE CardPool SET cards_Display_Order = 'SET002_075' WHERE CardCode = 'SL2E-075';</v>
      </c>
    </row>
    <row r="77" spans="1:16" x14ac:dyDescent="0.25">
      <c r="A77" t="s">
        <v>79</v>
      </c>
      <c r="B77" t="s">
        <v>137</v>
      </c>
      <c r="C77" t="s">
        <v>140</v>
      </c>
      <c r="D77" t="s">
        <v>195</v>
      </c>
      <c r="E77" t="s">
        <v>204</v>
      </c>
      <c r="F77" s="1" t="s">
        <v>205</v>
      </c>
      <c r="G77" s="1" t="s">
        <v>206</v>
      </c>
      <c r="H77" s="1" t="s">
        <v>359</v>
      </c>
      <c r="I77" t="str">
        <f t="shared" si="3"/>
        <v>('SL2E-076','SL2E','SR','TANK'),</v>
      </c>
      <c r="J77" t="s">
        <v>708</v>
      </c>
      <c r="K77" s="2" t="s">
        <v>632</v>
      </c>
      <c r="L77" s="3" t="str">
        <f t="shared" si="4"/>
        <v>SET002_076</v>
      </c>
      <c r="M77" t="s">
        <v>705</v>
      </c>
      <c r="N77" t="s">
        <v>706</v>
      </c>
      <c r="O77" t="s">
        <v>707</v>
      </c>
      <c r="P77" t="str">
        <f t="shared" si="5"/>
        <v>UPDATE CardPool SET cards_Display_Order = 'SET002_076' WHERE CardCode = 'SL2E-076';</v>
      </c>
    </row>
    <row r="78" spans="1:16" x14ac:dyDescent="0.25">
      <c r="A78" t="s">
        <v>80</v>
      </c>
      <c r="B78" t="s">
        <v>137</v>
      </c>
      <c r="C78" t="s">
        <v>140</v>
      </c>
      <c r="D78" t="s">
        <v>197</v>
      </c>
      <c r="E78" t="s">
        <v>204</v>
      </c>
      <c r="F78" s="1" t="s">
        <v>205</v>
      </c>
      <c r="G78" s="1" t="s">
        <v>206</v>
      </c>
      <c r="H78" s="1" t="s">
        <v>359</v>
      </c>
      <c r="I78" t="str">
        <f t="shared" si="3"/>
        <v>('SL2E-077','SL2E','SR','TUSK'),</v>
      </c>
      <c r="J78" t="s">
        <v>708</v>
      </c>
      <c r="K78" s="2" t="s">
        <v>633</v>
      </c>
      <c r="L78" s="3" t="str">
        <f t="shared" si="4"/>
        <v>SET002_077</v>
      </c>
      <c r="M78" t="s">
        <v>705</v>
      </c>
      <c r="N78" t="s">
        <v>706</v>
      </c>
      <c r="O78" t="s">
        <v>707</v>
      </c>
      <c r="P78" t="str">
        <f t="shared" si="5"/>
        <v>UPDATE CardPool SET cards_Display_Order = 'SET002_077' WHERE CardCode = 'SL2E-077';</v>
      </c>
    </row>
    <row r="79" spans="1:16" x14ac:dyDescent="0.25">
      <c r="A79" t="s">
        <v>81</v>
      </c>
      <c r="B79" t="s">
        <v>137</v>
      </c>
      <c r="C79" t="s">
        <v>140</v>
      </c>
      <c r="D79" t="s">
        <v>196</v>
      </c>
      <c r="E79" t="s">
        <v>204</v>
      </c>
      <c r="F79" s="1" t="s">
        <v>205</v>
      </c>
      <c r="G79" s="1" t="s">
        <v>206</v>
      </c>
      <c r="H79" s="1" t="s">
        <v>359</v>
      </c>
      <c r="I79" t="str">
        <f t="shared" si="3"/>
        <v>('SL2E-078','SL2E','SR','IRON'),</v>
      </c>
      <c r="J79" t="s">
        <v>708</v>
      </c>
      <c r="K79" s="2" t="s">
        <v>634</v>
      </c>
      <c r="L79" s="3" t="str">
        <f t="shared" si="4"/>
        <v>SET002_078</v>
      </c>
      <c r="M79" t="s">
        <v>705</v>
      </c>
      <c r="N79" t="s">
        <v>706</v>
      </c>
      <c r="O79" t="s">
        <v>707</v>
      </c>
      <c r="P79" t="str">
        <f t="shared" si="5"/>
        <v>UPDATE CardPool SET cards_Display_Order = 'SET002_078' WHERE CardCode = 'SL2E-078';</v>
      </c>
    </row>
    <row r="80" spans="1:16" x14ac:dyDescent="0.25">
      <c r="A80" t="s">
        <v>82</v>
      </c>
      <c r="B80" t="s">
        <v>137</v>
      </c>
      <c r="C80" t="s">
        <v>140</v>
      </c>
      <c r="D80" t="s">
        <v>185</v>
      </c>
      <c r="E80" t="s">
        <v>204</v>
      </c>
      <c r="F80" s="1" t="s">
        <v>205</v>
      </c>
      <c r="G80" s="1" t="s">
        <v>206</v>
      </c>
      <c r="H80" s="1" t="s">
        <v>359</v>
      </c>
      <c r="I80" t="str">
        <f t="shared" si="3"/>
        <v>('SL2E-079','SL2E','SR','IGRIS'),</v>
      </c>
      <c r="J80" t="s">
        <v>708</v>
      </c>
      <c r="K80" s="2" t="s">
        <v>635</v>
      </c>
      <c r="L80" s="3" t="str">
        <f t="shared" si="4"/>
        <v>SET002_079</v>
      </c>
      <c r="M80" t="s">
        <v>705</v>
      </c>
      <c r="N80" t="s">
        <v>706</v>
      </c>
      <c r="O80" t="s">
        <v>707</v>
      </c>
      <c r="P80" t="str">
        <f t="shared" si="5"/>
        <v>UPDATE CardPool SET cards_Display_Order = 'SET002_079' WHERE CardCode = 'SL2E-079';</v>
      </c>
    </row>
    <row r="81" spans="1:16" x14ac:dyDescent="0.25">
      <c r="A81" t="s">
        <v>83</v>
      </c>
      <c r="B81" t="s">
        <v>137</v>
      </c>
      <c r="C81" t="s">
        <v>142</v>
      </c>
      <c r="D81" t="s">
        <v>155</v>
      </c>
      <c r="E81" t="s">
        <v>204</v>
      </c>
      <c r="F81" s="1" t="s">
        <v>205</v>
      </c>
      <c r="G81" s="1" t="s">
        <v>206</v>
      </c>
      <c r="H81" s="1" t="s">
        <v>359</v>
      </c>
      <c r="I81" t="str">
        <f t="shared" si="3"/>
        <v>('SL2E-080','SL2E','UR','SUNG JINWOO'),</v>
      </c>
      <c r="J81" t="s">
        <v>708</v>
      </c>
      <c r="K81" s="2" t="s">
        <v>636</v>
      </c>
      <c r="L81" s="3" t="str">
        <f t="shared" si="4"/>
        <v>SET002_080</v>
      </c>
      <c r="M81" t="s">
        <v>705</v>
      </c>
      <c r="N81" t="s">
        <v>706</v>
      </c>
      <c r="O81" t="s">
        <v>707</v>
      </c>
      <c r="P81" t="str">
        <f t="shared" si="5"/>
        <v>UPDATE CardPool SET cards_Display_Order = 'SET002_080' WHERE CardCode = 'SL2E-080';</v>
      </c>
    </row>
    <row r="82" spans="1:16" x14ac:dyDescent="0.25">
      <c r="A82" t="s">
        <v>84</v>
      </c>
      <c r="B82" t="s">
        <v>137</v>
      </c>
      <c r="C82" t="s">
        <v>142</v>
      </c>
      <c r="D82" t="s">
        <v>159</v>
      </c>
      <c r="E82" t="s">
        <v>204</v>
      </c>
      <c r="F82" s="1" t="s">
        <v>205</v>
      </c>
      <c r="G82" s="1" t="s">
        <v>206</v>
      </c>
      <c r="H82" s="1" t="s">
        <v>359</v>
      </c>
      <c r="I82" t="str">
        <f t="shared" si="3"/>
        <v>('SL2E-081','SL2E','UR','CHA HAE-IN'),</v>
      </c>
      <c r="J82" t="s">
        <v>708</v>
      </c>
      <c r="K82" s="2" t="s">
        <v>637</v>
      </c>
      <c r="L82" s="3" t="str">
        <f t="shared" si="4"/>
        <v>SET002_081</v>
      </c>
      <c r="M82" t="s">
        <v>705</v>
      </c>
      <c r="N82" t="s">
        <v>706</v>
      </c>
      <c r="O82" t="s">
        <v>707</v>
      </c>
      <c r="P82" t="str">
        <f t="shared" si="5"/>
        <v>UPDATE CardPool SET cards_Display_Order = 'SET002_081' WHERE CardCode = 'SL2E-081';</v>
      </c>
    </row>
    <row r="83" spans="1:16" x14ac:dyDescent="0.25">
      <c r="A83" t="s">
        <v>85</v>
      </c>
      <c r="B83" t="s">
        <v>137</v>
      </c>
      <c r="C83" t="s">
        <v>142</v>
      </c>
      <c r="D83" t="s">
        <v>158</v>
      </c>
      <c r="E83" t="s">
        <v>204</v>
      </c>
      <c r="F83" s="1" t="s">
        <v>205</v>
      </c>
      <c r="G83" s="1" t="s">
        <v>206</v>
      </c>
      <c r="H83" s="1" t="s">
        <v>359</v>
      </c>
      <c r="I83" t="str">
        <f t="shared" si="3"/>
        <v>('SL2E-082','SL2E','UR','CHOI JONG-IN'),</v>
      </c>
      <c r="J83" t="s">
        <v>708</v>
      </c>
      <c r="K83" s="2" t="s">
        <v>638</v>
      </c>
      <c r="L83" s="3" t="str">
        <f t="shared" si="4"/>
        <v>SET002_082</v>
      </c>
      <c r="M83" t="s">
        <v>705</v>
      </c>
      <c r="N83" t="s">
        <v>706</v>
      </c>
      <c r="O83" t="s">
        <v>707</v>
      </c>
      <c r="P83" t="str">
        <f t="shared" si="5"/>
        <v>UPDATE CardPool SET cards_Display_Order = 'SET002_082' WHERE CardCode = 'SL2E-082';</v>
      </c>
    </row>
    <row r="84" spans="1:16" x14ac:dyDescent="0.25">
      <c r="A84" t="s">
        <v>86</v>
      </c>
      <c r="B84" t="s">
        <v>137</v>
      </c>
      <c r="C84" t="s">
        <v>142</v>
      </c>
      <c r="D84" t="s">
        <v>198</v>
      </c>
      <c r="E84" t="s">
        <v>204</v>
      </c>
      <c r="F84" s="1" t="s">
        <v>205</v>
      </c>
      <c r="G84" s="1" t="s">
        <v>206</v>
      </c>
      <c r="H84" s="1" t="s">
        <v>359</v>
      </c>
      <c r="I84" t="str">
        <f t="shared" si="3"/>
        <v>('SL2E-083','SL2E','UR','ICE BEAR / TANK'),</v>
      </c>
      <c r="J84" t="s">
        <v>708</v>
      </c>
      <c r="K84" s="2" t="s">
        <v>639</v>
      </c>
      <c r="L84" s="3" t="str">
        <f t="shared" si="4"/>
        <v>SET002_083</v>
      </c>
      <c r="M84" t="s">
        <v>705</v>
      </c>
      <c r="N84" t="s">
        <v>706</v>
      </c>
      <c r="O84" t="s">
        <v>707</v>
      </c>
      <c r="P84" t="str">
        <f t="shared" si="5"/>
        <v>UPDATE CardPool SET cards_Display_Order = 'SET002_083' WHERE CardCode = 'SL2E-083';</v>
      </c>
    </row>
    <row r="85" spans="1:16" x14ac:dyDescent="0.25">
      <c r="A85" t="s">
        <v>87</v>
      </c>
      <c r="B85" t="s">
        <v>137</v>
      </c>
      <c r="C85" t="s">
        <v>142</v>
      </c>
      <c r="D85" t="s">
        <v>199</v>
      </c>
      <c r="E85" t="s">
        <v>204</v>
      </c>
      <c r="F85" s="1" t="s">
        <v>205</v>
      </c>
      <c r="G85" s="1" t="s">
        <v>206</v>
      </c>
      <c r="H85" s="1" t="s">
        <v>359</v>
      </c>
      <c r="I85" t="str">
        <f t="shared" si="3"/>
        <v>('SL2E-084','SL2E','UR','KARGALGAN / TUSK'),</v>
      </c>
      <c r="J85" t="s">
        <v>708</v>
      </c>
      <c r="K85" s="2" t="s">
        <v>640</v>
      </c>
      <c r="L85" s="3" t="str">
        <f t="shared" si="4"/>
        <v>SET002_084</v>
      </c>
      <c r="M85" t="s">
        <v>705</v>
      </c>
      <c r="N85" t="s">
        <v>706</v>
      </c>
      <c r="O85" t="s">
        <v>707</v>
      </c>
      <c r="P85" t="str">
        <f t="shared" si="5"/>
        <v>UPDATE CardPool SET cards_Display_Order = 'SET002_084' WHERE CardCode = 'SL2E-084';</v>
      </c>
    </row>
    <row r="86" spans="1:16" x14ac:dyDescent="0.25">
      <c r="A86" t="s">
        <v>88</v>
      </c>
      <c r="B86" t="s">
        <v>137</v>
      </c>
      <c r="C86" t="s">
        <v>142</v>
      </c>
      <c r="D86" t="s">
        <v>200</v>
      </c>
      <c r="E86" t="s">
        <v>204</v>
      </c>
      <c r="F86" s="1" t="s">
        <v>205</v>
      </c>
      <c r="G86" s="1" t="s">
        <v>206</v>
      </c>
      <c r="H86" s="1" t="s">
        <v>359</v>
      </c>
      <c r="I86" t="str">
        <f t="shared" si="3"/>
        <v>('SL2E-085','SL2E','UR','KIM CHUL / IRON'),</v>
      </c>
      <c r="J86" t="s">
        <v>708</v>
      </c>
      <c r="K86" s="2" t="s">
        <v>641</v>
      </c>
      <c r="L86" s="3" t="str">
        <f t="shared" si="4"/>
        <v>SET002_085</v>
      </c>
      <c r="M86" t="s">
        <v>705</v>
      </c>
      <c r="N86" t="s">
        <v>706</v>
      </c>
      <c r="O86" t="s">
        <v>707</v>
      </c>
      <c r="P86" t="str">
        <f t="shared" si="5"/>
        <v>UPDATE CardPool SET cards_Display_Order = 'SET002_085' WHERE CardCode = 'SL2E-085';</v>
      </c>
    </row>
    <row r="87" spans="1:16" x14ac:dyDescent="0.25">
      <c r="A87" t="s">
        <v>89</v>
      </c>
      <c r="B87" t="s">
        <v>137</v>
      </c>
      <c r="C87" t="s">
        <v>142</v>
      </c>
      <c r="D87" t="s">
        <v>185</v>
      </c>
      <c r="E87" t="s">
        <v>204</v>
      </c>
      <c r="F87" s="1" t="s">
        <v>205</v>
      </c>
      <c r="G87" s="1" t="s">
        <v>206</v>
      </c>
      <c r="H87" s="1" t="s">
        <v>359</v>
      </c>
      <c r="I87" t="str">
        <f t="shared" si="3"/>
        <v>('SL2E-086','SL2E','UR','IGRIS'),</v>
      </c>
      <c r="J87" t="s">
        <v>708</v>
      </c>
      <c r="K87" s="2" t="s">
        <v>642</v>
      </c>
      <c r="L87" s="3" t="str">
        <f t="shared" si="4"/>
        <v>SET002_086</v>
      </c>
      <c r="M87" t="s">
        <v>705</v>
      </c>
      <c r="N87" t="s">
        <v>706</v>
      </c>
      <c r="O87" t="s">
        <v>707</v>
      </c>
      <c r="P87" t="str">
        <f t="shared" si="5"/>
        <v>UPDATE CardPool SET cards_Display_Order = 'SET002_086' WHERE CardCode = 'SL2E-086';</v>
      </c>
    </row>
    <row r="88" spans="1:16" x14ac:dyDescent="0.25">
      <c r="A88" t="s">
        <v>90</v>
      </c>
      <c r="B88" t="s">
        <v>137</v>
      </c>
      <c r="C88" t="s">
        <v>144</v>
      </c>
      <c r="D88" t="s">
        <v>155</v>
      </c>
      <c r="E88" t="s">
        <v>204</v>
      </c>
      <c r="F88" s="1" t="s">
        <v>205</v>
      </c>
      <c r="G88" s="1" t="s">
        <v>206</v>
      </c>
      <c r="H88" s="1" t="s">
        <v>359</v>
      </c>
      <c r="I88" t="str">
        <f t="shared" si="3"/>
        <v>('SL2E-087','SL2E','HR','SUNG JINWOO'),</v>
      </c>
      <c r="J88" t="s">
        <v>708</v>
      </c>
      <c r="K88" s="2" t="s">
        <v>643</v>
      </c>
      <c r="L88" s="3" t="str">
        <f t="shared" si="4"/>
        <v>SET002_087</v>
      </c>
      <c r="M88" t="s">
        <v>705</v>
      </c>
      <c r="N88" t="s">
        <v>706</v>
      </c>
      <c r="O88" t="s">
        <v>707</v>
      </c>
      <c r="P88" t="str">
        <f t="shared" si="5"/>
        <v>UPDATE CardPool SET cards_Display_Order = 'SET002_087' WHERE CardCode = 'SL2E-087';</v>
      </c>
    </row>
    <row r="89" spans="1:16" x14ac:dyDescent="0.25">
      <c r="A89" t="s">
        <v>91</v>
      </c>
      <c r="B89" t="s">
        <v>137</v>
      </c>
      <c r="C89" t="s">
        <v>144</v>
      </c>
      <c r="D89" t="s">
        <v>197</v>
      </c>
      <c r="E89" t="s">
        <v>204</v>
      </c>
      <c r="F89" s="1" t="s">
        <v>205</v>
      </c>
      <c r="G89" s="1" t="s">
        <v>206</v>
      </c>
      <c r="H89" s="1" t="s">
        <v>359</v>
      </c>
      <c r="I89" t="str">
        <f t="shared" si="3"/>
        <v>('SL2E-088','SL2E','HR','TUSK'),</v>
      </c>
      <c r="J89" t="s">
        <v>708</v>
      </c>
      <c r="K89" s="2" t="s">
        <v>644</v>
      </c>
      <c r="L89" s="3" t="str">
        <f t="shared" si="4"/>
        <v>SET002_088</v>
      </c>
      <c r="M89" t="s">
        <v>705</v>
      </c>
      <c r="N89" t="s">
        <v>706</v>
      </c>
      <c r="O89" t="s">
        <v>707</v>
      </c>
      <c r="P89" t="str">
        <f t="shared" si="5"/>
        <v>UPDATE CardPool SET cards_Display_Order = 'SET002_088' WHERE CardCode = 'SL2E-088';</v>
      </c>
    </row>
    <row r="90" spans="1:16" x14ac:dyDescent="0.25">
      <c r="A90" t="s">
        <v>92</v>
      </c>
      <c r="B90" t="s">
        <v>137</v>
      </c>
      <c r="C90" t="s">
        <v>144</v>
      </c>
      <c r="D90" t="s">
        <v>201</v>
      </c>
      <c r="E90" t="s">
        <v>204</v>
      </c>
      <c r="F90" s="1" t="s">
        <v>205</v>
      </c>
      <c r="G90" s="1" t="s">
        <v>206</v>
      </c>
      <c r="H90" s="1" t="s">
        <v>359</v>
      </c>
      <c r="I90" t="str">
        <f t="shared" si="3"/>
        <v>('SL2E-089','SL2E','HR','THE SHADOW ARMY'),</v>
      </c>
      <c r="J90" t="s">
        <v>708</v>
      </c>
      <c r="K90" s="2" t="s">
        <v>645</v>
      </c>
      <c r="L90" s="3" t="str">
        <f t="shared" si="4"/>
        <v>SET002_089</v>
      </c>
      <c r="M90" t="s">
        <v>705</v>
      </c>
      <c r="N90" t="s">
        <v>706</v>
      </c>
      <c r="O90" t="s">
        <v>707</v>
      </c>
      <c r="P90" t="str">
        <f t="shared" si="5"/>
        <v>UPDATE CardPool SET cards_Display_Order = 'SET002_089' WHERE CardCode = 'SL2E-089';</v>
      </c>
    </row>
    <row r="91" spans="1:16" x14ac:dyDescent="0.25">
      <c r="A91" t="s">
        <v>93</v>
      </c>
      <c r="B91" t="s">
        <v>137</v>
      </c>
      <c r="C91" t="s">
        <v>141</v>
      </c>
      <c r="D91" t="s">
        <v>155</v>
      </c>
      <c r="E91" t="s">
        <v>204</v>
      </c>
      <c r="F91" s="1" t="s">
        <v>205</v>
      </c>
      <c r="G91" s="1" t="s">
        <v>206</v>
      </c>
      <c r="H91" s="1" t="s">
        <v>359</v>
      </c>
      <c r="I91" t="str">
        <f t="shared" si="3"/>
        <v>('SL2E-069-P','SL2E','SR-P','SUNG JINWOO'),</v>
      </c>
      <c r="J91" t="s">
        <v>708</v>
      </c>
      <c r="K91" s="2" t="s">
        <v>646</v>
      </c>
      <c r="L91" s="3" t="str">
        <f t="shared" si="4"/>
        <v>SET002_090</v>
      </c>
      <c r="M91" t="s">
        <v>705</v>
      </c>
      <c r="N91" t="s">
        <v>706</v>
      </c>
      <c r="O91" t="s">
        <v>707</v>
      </c>
      <c r="P91" t="str">
        <f t="shared" si="5"/>
        <v>UPDATE CardPool SET cards_Display_Order = 'SET002_090' WHERE CardCode = 'SL2E-069-P';</v>
      </c>
    </row>
    <row r="92" spans="1:16" x14ac:dyDescent="0.25">
      <c r="A92" t="s">
        <v>94</v>
      </c>
      <c r="B92" t="s">
        <v>137</v>
      </c>
      <c r="C92" t="s">
        <v>141</v>
      </c>
      <c r="D92" t="s">
        <v>156</v>
      </c>
      <c r="E92" t="s">
        <v>204</v>
      </c>
      <c r="F92" s="1" t="s">
        <v>205</v>
      </c>
      <c r="G92" s="1" t="s">
        <v>206</v>
      </c>
      <c r="H92" s="1" t="s">
        <v>359</v>
      </c>
      <c r="I92" t="str">
        <f t="shared" si="3"/>
        <v>('SL2E-070-P','SL2E','SR-P','YOO JINHO'),</v>
      </c>
      <c r="J92" t="s">
        <v>708</v>
      </c>
      <c r="K92" s="2" t="s">
        <v>647</v>
      </c>
      <c r="L92" s="3" t="str">
        <f t="shared" si="4"/>
        <v>SET002_091</v>
      </c>
      <c r="M92" t="s">
        <v>705</v>
      </c>
      <c r="N92" t="s">
        <v>706</v>
      </c>
      <c r="O92" t="s">
        <v>707</v>
      </c>
      <c r="P92" t="str">
        <f t="shared" si="5"/>
        <v>UPDATE CardPool SET cards_Display_Order = 'SET002_091' WHERE CardCode = 'SL2E-070-P';</v>
      </c>
    </row>
    <row r="93" spans="1:16" x14ac:dyDescent="0.25">
      <c r="A93" t="s">
        <v>95</v>
      </c>
      <c r="B93" t="s">
        <v>137</v>
      </c>
      <c r="C93" t="s">
        <v>141</v>
      </c>
      <c r="D93" t="s">
        <v>159</v>
      </c>
      <c r="E93" t="s">
        <v>204</v>
      </c>
      <c r="F93" s="1" t="s">
        <v>205</v>
      </c>
      <c r="G93" s="1" t="s">
        <v>206</v>
      </c>
      <c r="H93" s="1" t="s">
        <v>359</v>
      </c>
      <c r="I93" t="str">
        <f t="shared" si="3"/>
        <v>('SL2E-071-P','SL2E','SR-P','CHA HAE-IN'),</v>
      </c>
      <c r="J93" t="s">
        <v>708</v>
      </c>
      <c r="K93" s="2" t="s">
        <v>648</v>
      </c>
      <c r="L93" s="3" t="str">
        <f t="shared" si="4"/>
        <v>SET002_092</v>
      </c>
      <c r="M93" t="s">
        <v>705</v>
      </c>
      <c r="N93" t="s">
        <v>706</v>
      </c>
      <c r="O93" t="s">
        <v>707</v>
      </c>
      <c r="P93" t="str">
        <f t="shared" si="5"/>
        <v>UPDATE CardPool SET cards_Display_Order = 'SET002_092' WHERE CardCode = 'SL2E-071-P';</v>
      </c>
    </row>
    <row r="94" spans="1:16" x14ac:dyDescent="0.25">
      <c r="A94" t="s">
        <v>96</v>
      </c>
      <c r="B94" t="s">
        <v>137</v>
      </c>
      <c r="C94" t="s">
        <v>141</v>
      </c>
      <c r="D94" t="s">
        <v>157</v>
      </c>
      <c r="E94" t="s">
        <v>204</v>
      </c>
      <c r="F94" s="1" t="s">
        <v>205</v>
      </c>
      <c r="G94" s="1" t="s">
        <v>206</v>
      </c>
      <c r="H94" s="1" t="s">
        <v>359</v>
      </c>
      <c r="I94" t="str">
        <f t="shared" si="3"/>
        <v>('SL2E-072-P','SL2E','SR-P','BAEK YOONHO'),</v>
      </c>
      <c r="J94" t="s">
        <v>708</v>
      </c>
      <c r="K94" s="2" t="s">
        <v>649</v>
      </c>
      <c r="L94" s="3" t="str">
        <f t="shared" si="4"/>
        <v>SET002_093</v>
      </c>
      <c r="M94" t="s">
        <v>705</v>
      </c>
      <c r="N94" t="s">
        <v>706</v>
      </c>
      <c r="O94" t="s">
        <v>707</v>
      </c>
      <c r="P94" t="str">
        <f t="shared" si="5"/>
        <v>UPDATE CardPool SET cards_Display_Order = 'SET002_093' WHERE CardCode = 'SL2E-072-P';</v>
      </c>
    </row>
    <row r="95" spans="1:16" x14ac:dyDescent="0.25">
      <c r="A95" t="s">
        <v>97</v>
      </c>
      <c r="B95" t="s">
        <v>137</v>
      </c>
      <c r="C95" t="s">
        <v>141</v>
      </c>
      <c r="D95" t="s">
        <v>158</v>
      </c>
      <c r="E95" t="s">
        <v>204</v>
      </c>
      <c r="F95" s="1" t="s">
        <v>205</v>
      </c>
      <c r="G95" s="1" t="s">
        <v>206</v>
      </c>
      <c r="H95" s="1" t="s">
        <v>359</v>
      </c>
      <c r="I95" t="str">
        <f t="shared" si="3"/>
        <v>('SL2E-073-P','SL2E','SR-P','CHOI JONG-IN'),</v>
      </c>
      <c r="J95" t="s">
        <v>708</v>
      </c>
      <c r="K95" s="2" t="s">
        <v>650</v>
      </c>
      <c r="L95" s="3" t="str">
        <f t="shared" si="4"/>
        <v>SET002_094</v>
      </c>
      <c r="M95" t="s">
        <v>705</v>
      </c>
      <c r="N95" t="s">
        <v>706</v>
      </c>
      <c r="O95" t="s">
        <v>707</v>
      </c>
      <c r="P95" t="str">
        <f t="shared" si="5"/>
        <v>UPDATE CardPool SET cards_Display_Order = 'SET002_094' WHERE CardCode = 'SL2E-073-P';</v>
      </c>
    </row>
    <row r="96" spans="1:16" x14ac:dyDescent="0.25">
      <c r="A96" t="s">
        <v>98</v>
      </c>
      <c r="B96" t="s">
        <v>137</v>
      </c>
      <c r="C96" t="s">
        <v>141</v>
      </c>
      <c r="D96" t="s">
        <v>161</v>
      </c>
      <c r="E96" t="s">
        <v>204</v>
      </c>
      <c r="F96" s="1" t="s">
        <v>205</v>
      </c>
      <c r="G96" s="1" t="s">
        <v>206</v>
      </c>
      <c r="H96" s="1" t="s">
        <v>359</v>
      </c>
      <c r="I96" t="str">
        <f t="shared" si="3"/>
        <v>('SL2E-074-P','SL2E','SR-P','GO GUNHEE'),</v>
      </c>
      <c r="J96" t="s">
        <v>708</v>
      </c>
      <c r="K96" s="2" t="s">
        <v>651</v>
      </c>
      <c r="L96" s="3" t="str">
        <f t="shared" si="4"/>
        <v>SET002_095</v>
      </c>
      <c r="M96" t="s">
        <v>705</v>
      </c>
      <c r="N96" t="s">
        <v>706</v>
      </c>
      <c r="O96" t="s">
        <v>707</v>
      </c>
      <c r="P96" t="str">
        <f t="shared" si="5"/>
        <v>UPDATE CardPool SET cards_Display_Order = 'SET002_095' WHERE CardCode = 'SL2E-074-P';</v>
      </c>
    </row>
    <row r="97" spans="1:16" x14ac:dyDescent="0.25">
      <c r="A97" t="s">
        <v>99</v>
      </c>
      <c r="B97" t="s">
        <v>137</v>
      </c>
      <c r="C97" t="s">
        <v>141</v>
      </c>
      <c r="D97" t="s">
        <v>160</v>
      </c>
      <c r="E97" t="s">
        <v>204</v>
      </c>
      <c r="F97" s="1" t="s">
        <v>205</v>
      </c>
      <c r="G97" s="1" t="s">
        <v>206</v>
      </c>
      <c r="H97" s="1" t="s">
        <v>359</v>
      </c>
      <c r="I97" t="str">
        <f t="shared" si="3"/>
        <v>('SL2E-075-P','SL2E','SR-P','WOO JINCHUL'),</v>
      </c>
      <c r="J97" t="s">
        <v>708</v>
      </c>
      <c r="K97" s="2" t="s">
        <v>652</v>
      </c>
      <c r="L97" s="3" t="str">
        <f t="shared" si="4"/>
        <v>SET002_096</v>
      </c>
      <c r="M97" t="s">
        <v>705</v>
      </c>
      <c r="N97" t="s">
        <v>706</v>
      </c>
      <c r="O97" t="s">
        <v>707</v>
      </c>
      <c r="P97" t="str">
        <f t="shared" si="5"/>
        <v>UPDATE CardPool SET cards_Display_Order = 'SET002_096' WHERE CardCode = 'SL2E-075-P';</v>
      </c>
    </row>
    <row r="98" spans="1:16" x14ac:dyDescent="0.25">
      <c r="A98" t="s">
        <v>100</v>
      </c>
      <c r="B98" t="s">
        <v>137</v>
      </c>
      <c r="C98" t="s">
        <v>141</v>
      </c>
      <c r="D98" t="s">
        <v>195</v>
      </c>
      <c r="E98" t="s">
        <v>204</v>
      </c>
      <c r="F98" s="1" t="s">
        <v>205</v>
      </c>
      <c r="G98" s="1" t="s">
        <v>206</v>
      </c>
      <c r="H98" s="1" t="s">
        <v>359</v>
      </c>
      <c r="I98" t="str">
        <f t="shared" si="3"/>
        <v>('SL2E-076-P','SL2E','SR-P','TANK'),</v>
      </c>
      <c r="J98" t="s">
        <v>708</v>
      </c>
      <c r="K98" s="2" t="s">
        <v>653</v>
      </c>
      <c r="L98" s="3" t="str">
        <f t="shared" si="4"/>
        <v>SET002_097</v>
      </c>
      <c r="M98" t="s">
        <v>705</v>
      </c>
      <c r="N98" t="s">
        <v>706</v>
      </c>
      <c r="O98" t="s">
        <v>707</v>
      </c>
      <c r="P98" t="str">
        <f t="shared" si="5"/>
        <v>UPDATE CardPool SET cards_Display_Order = 'SET002_097' WHERE CardCode = 'SL2E-076-P';</v>
      </c>
    </row>
    <row r="99" spans="1:16" x14ac:dyDescent="0.25">
      <c r="A99" t="s">
        <v>101</v>
      </c>
      <c r="B99" t="s">
        <v>137</v>
      </c>
      <c r="C99" t="s">
        <v>141</v>
      </c>
      <c r="D99" t="s">
        <v>197</v>
      </c>
      <c r="E99" t="s">
        <v>204</v>
      </c>
      <c r="F99" s="1" t="s">
        <v>205</v>
      </c>
      <c r="G99" s="1" t="s">
        <v>206</v>
      </c>
      <c r="H99" s="1" t="s">
        <v>359</v>
      </c>
      <c r="I99" t="str">
        <f t="shared" si="3"/>
        <v>('SL2E-077-P','SL2E','SR-P','TUSK'),</v>
      </c>
      <c r="J99" t="s">
        <v>708</v>
      </c>
      <c r="K99" s="2" t="s">
        <v>654</v>
      </c>
      <c r="L99" s="3" t="str">
        <f t="shared" si="4"/>
        <v>SET002_098</v>
      </c>
      <c r="M99" t="s">
        <v>705</v>
      </c>
      <c r="N99" t="s">
        <v>706</v>
      </c>
      <c r="O99" t="s">
        <v>707</v>
      </c>
      <c r="P99" t="str">
        <f t="shared" si="5"/>
        <v>UPDATE CardPool SET cards_Display_Order = 'SET002_098' WHERE CardCode = 'SL2E-077-P';</v>
      </c>
    </row>
    <row r="100" spans="1:16" x14ac:dyDescent="0.25">
      <c r="A100" t="s">
        <v>102</v>
      </c>
      <c r="B100" t="s">
        <v>137</v>
      </c>
      <c r="C100" t="s">
        <v>141</v>
      </c>
      <c r="D100" t="s">
        <v>196</v>
      </c>
      <c r="E100" t="s">
        <v>204</v>
      </c>
      <c r="F100" s="1" t="s">
        <v>205</v>
      </c>
      <c r="G100" s="1" t="s">
        <v>206</v>
      </c>
      <c r="H100" s="1" t="s">
        <v>359</v>
      </c>
      <c r="I100" t="str">
        <f t="shared" si="3"/>
        <v>('SL2E-078-P','SL2E','SR-P','IRON'),</v>
      </c>
      <c r="J100" t="s">
        <v>708</v>
      </c>
      <c r="K100" s="2" t="s">
        <v>655</v>
      </c>
      <c r="L100" s="3" t="str">
        <f t="shared" si="4"/>
        <v>SET002_099</v>
      </c>
      <c r="M100" t="s">
        <v>705</v>
      </c>
      <c r="N100" t="s">
        <v>706</v>
      </c>
      <c r="O100" t="s">
        <v>707</v>
      </c>
      <c r="P100" t="str">
        <f t="shared" si="5"/>
        <v>UPDATE CardPool SET cards_Display_Order = 'SET002_099' WHERE CardCode = 'SL2E-078-P';</v>
      </c>
    </row>
    <row r="101" spans="1:16" x14ac:dyDescent="0.25">
      <c r="A101" t="s">
        <v>103</v>
      </c>
      <c r="B101" t="s">
        <v>137</v>
      </c>
      <c r="C101" t="s">
        <v>141</v>
      </c>
      <c r="D101" t="s">
        <v>185</v>
      </c>
      <c r="E101" t="s">
        <v>204</v>
      </c>
      <c r="F101" s="1" t="s">
        <v>205</v>
      </c>
      <c r="G101" s="1" t="s">
        <v>206</v>
      </c>
      <c r="H101" s="1" t="s">
        <v>359</v>
      </c>
      <c r="I101" t="str">
        <f t="shared" si="3"/>
        <v>('SL2E-079-P','SL2E','SR-P','IGRIS'),</v>
      </c>
      <c r="J101" t="s">
        <v>708</v>
      </c>
      <c r="K101" s="2" t="s">
        <v>656</v>
      </c>
      <c r="L101" s="3" t="str">
        <f t="shared" si="4"/>
        <v>SET002_100</v>
      </c>
      <c r="M101" t="s">
        <v>705</v>
      </c>
      <c r="N101" t="s">
        <v>706</v>
      </c>
      <c r="O101" t="s">
        <v>707</v>
      </c>
      <c r="P101" t="str">
        <f t="shared" si="5"/>
        <v>UPDATE CardPool SET cards_Display_Order = 'SET002_100' WHERE CardCode = 'SL2E-079-P';</v>
      </c>
    </row>
    <row r="102" spans="1:16" x14ac:dyDescent="0.25">
      <c r="A102" t="s">
        <v>104</v>
      </c>
      <c r="B102" t="s">
        <v>137</v>
      </c>
      <c r="C102" t="s">
        <v>143</v>
      </c>
      <c r="D102" t="s">
        <v>155</v>
      </c>
      <c r="E102" t="s">
        <v>204</v>
      </c>
      <c r="F102" s="1" t="s">
        <v>205</v>
      </c>
      <c r="G102" s="1" t="s">
        <v>206</v>
      </c>
      <c r="H102" s="1" t="s">
        <v>359</v>
      </c>
      <c r="I102" t="str">
        <f t="shared" si="3"/>
        <v>('SL2E-080-P','SL2E','UR-P','SUNG JINWOO'),</v>
      </c>
      <c r="J102" t="s">
        <v>708</v>
      </c>
      <c r="K102" s="2" t="s">
        <v>657</v>
      </c>
      <c r="L102" s="3" t="str">
        <f t="shared" si="4"/>
        <v>SET002_101</v>
      </c>
      <c r="M102" t="s">
        <v>705</v>
      </c>
      <c r="N102" t="s">
        <v>706</v>
      </c>
      <c r="O102" t="s">
        <v>707</v>
      </c>
      <c r="P102" t="str">
        <f t="shared" si="5"/>
        <v>UPDATE CardPool SET cards_Display_Order = 'SET002_101' WHERE CardCode = 'SL2E-080-P';</v>
      </c>
    </row>
    <row r="103" spans="1:16" x14ac:dyDescent="0.25">
      <c r="A103" t="s">
        <v>105</v>
      </c>
      <c r="B103" t="s">
        <v>137</v>
      </c>
      <c r="C103" t="s">
        <v>143</v>
      </c>
      <c r="D103" t="s">
        <v>159</v>
      </c>
      <c r="E103" t="s">
        <v>204</v>
      </c>
      <c r="F103" s="1" t="s">
        <v>205</v>
      </c>
      <c r="G103" s="1" t="s">
        <v>206</v>
      </c>
      <c r="H103" s="1" t="s">
        <v>359</v>
      </c>
      <c r="I103" t="str">
        <f t="shared" si="3"/>
        <v>('SL2E-081-P','SL2E','UR-P','CHA HAE-IN'),</v>
      </c>
      <c r="J103" t="s">
        <v>708</v>
      </c>
      <c r="K103" s="2" t="s">
        <v>658</v>
      </c>
      <c r="L103" s="3" t="str">
        <f t="shared" si="4"/>
        <v>SET002_102</v>
      </c>
      <c r="M103" t="s">
        <v>705</v>
      </c>
      <c r="N103" t="s">
        <v>706</v>
      </c>
      <c r="O103" t="s">
        <v>707</v>
      </c>
      <c r="P103" t="str">
        <f t="shared" si="5"/>
        <v>UPDATE CardPool SET cards_Display_Order = 'SET002_102' WHERE CardCode = 'SL2E-081-P';</v>
      </c>
    </row>
    <row r="104" spans="1:16" x14ac:dyDescent="0.25">
      <c r="A104" t="s">
        <v>106</v>
      </c>
      <c r="B104" t="s">
        <v>137</v>
      </c>
      <c r="C104" t="s">
        <v>143</v>
      </c>
      <c r="D104" t="s">
        <v>158</v>
      </c>
      <c r="E104" t="s">
        <v>204</v>
      </c>
      <c r="F104" s="1" t="s">
        <v>205</v>
      </c>
      <c r="G104" s="1" t="s">
        <v>206</v>
      </c>
      <c r="H104" s="1" t="s">
        <v>359</v>
      </c>
      <c r="I104" t="str">
        <f t="shared" si="3"/>
        <v>('SL2E-082-P','SL2E','UR-P','CHOI JONG-IN'),</v>
      </c>
      <c r="J104" t="s">
        <v>708</v>
      </c>
      <c r="K104" s="2" t="s">
        <v>659</v>
      </c>
      <c r="L104" s="3" t="str">
        <f t="shared" si="4"/>
        <v>SET002_103</v>
      </c>
      <c r="M104" t="s">
        <v>705</v>
      </c>
      <c r="N104" t="s">
        <v>706</v>
      </c>
      <c r="O104" t="s">
        <v>707</v>
      </c>
      <c r="P104" t="str">
        <f t="shared" si="5"/>
        <v>UPDATE CardPool SET cards_Display_Order = 'SET002_103' WHERE CardCode = 'SL2E-082-P';</v>
      </c>
    </row>
    <row r="105" spans="1:16" x14ac:dyDescent="0.25">
      <c r="A105" t="s">
        <v>107</v>
      </c>
      <c r="B105" t="s">
        <v>137</v>
      </c>
      <c r="C105" t="s">
        <v>143</v>
      </c>
      <c r="D105" t="s">
        <v>195</v>
      </c>
      <c r="E105" t="s">
        <v>204</v>
      </c>
      <c r="F105" s="1" t="s">
        <v>205</v>
      </c>
      <c r="G105" s="1" t="s">
        <v>206</v>
      </c>
      <c r="H105" s="1" t="s">
        <v>359</v>
      </c>
      <c r="I105" t="str">
        <f t="shared" si="3"/>
        <v>('SL2E-083-P','SL2E','UR-P','TANK'),</v>
      </c>
      <c r="J105" t="s">
        <v>708</v>
      </c>
      <c r="K105" s="2" t="s">
        <v>660</v>
      </c>
      <c r="L105" s="3" t="str">
        <f t="shared" si="4"/>
        <v>SET002_104</v>
      </c>
      <c r="M105" t="s">
        <v>705</v>
      </c>
      <c r="N105" t="s">
        <v>706</v>
      </c>
      <c r="O105" t="s">
        <v>707</v>
      </c>
      <c r="P105" t="str">
        <f t="shared" si="5"/>
        <v>UPDATE CardPool SET cards_Display_Order = 'SET002_104' WHERE CardCode = 'SL2E-083-P';</v>
      </c>
    </row>
    <row r="106" spans="1:16" x14ac:dyDescent="0.25">
      <c r="A106" t="s">
        <v>108</v>
      </c>
      <c r="B106" t="s">
        <v>137</v>
      </c>
      <c r="C106" t="s">
        <v>143</v>
      </c>
      <c r="D106" t="s">
        <v>197</v>
      </c>
      <c r="E106" t="s">
        <v>204</v>
      </c>
      <c r="F106" s="1" t="s">
        <v>205</v>
      </c>
      <c r="G106" s="1" t="s">
        <v>206</v>
      </c>
      <c r="H106" s="1" t="s">
        <v>359</v>
      </c>
      <c r="I106" t="str">
        <f t="shared" si="3"/>
        <v>('SL2E-084-P','SL2E','UR-P','TUSK'),</v>
      </c>
      <c r="J106" t="s">
        <v>708</v>
      </c>
      <c r="K106" s="2" t="s">
        <v>661</v>
      </c>
      <c r="L106" s="3" t="str">
        <f t="shared" si="4"/>
        <v>SET002_105</v>
      </c>
      <c r="M106" t="s">
        <v>705</v>
      </c>
      <c r="N106" t="s">
        <v>706</v>
      </c>
      <c r="O106" t="s">
        <v>707</v>
      </c>
      <c r="P106" t="str">
        <f t="shared" si="5"/>
        <v>UPDATE CardPool SET cards_Display_Order = 'SET002_105' WHERE CardCode = 'SL2E-084-P';</v>
      </c>
    </row>
    <row r="107" spans="1:16" x14ac:dyDescent="0.25">
      <c r="A107" t="s">
        <v>109</v>
      </c>
      <c r="B107" t="s">
        <v>137</v>
      </c>
      <c r="C107" t="s">
        <v>143</v>
      </c>
      <c r="D107" t="s">
        <v>196</v>
      </c>
      <c r="E107" t="s">
        <v>204</v>
      </c>
      <c r="F107" s="1" t="s">
        <v>205</v>
      </c>
      <c r="G107" s="1" t="s">
        <v>206</v>
      </c>
      <c r="H107" s="1" t="s">
        <v>359</v>
      </c>
      <c r="I107" t="str">
        <f t="shared" si="3"/>
        <v>('SL2E-085-P','SL2E','UR-P','IRON'),</v>
      </c>
      <c r="J107" t="s">
        <v>708</v>
      </c>
      <c r="K107" s="2" t="s">
        <v>662</v>
      </c>
      <c r="L107" s="3" t="str">
        <f t="shared" si="4"/>
        <v>SET002_106</v>
      </c>
      <c r="M107" t="s">
        <v>705</v>
      </c>
      <c r="N107" t="s">
        <v>706</v>
      </c>
      <c r="O107" t="s">
        <v>707</v>
      </c>
      <c r="P107" t="str">
        <f t="shared" si="5"/>
        <v>UPDATE CardPool SET cards_Display_Order = 'SET002_106' WHERE CardCode = 'SL2E-085-P';</v>
      </c>
    </row>
    <row r="108" spans="1:16" x14ac:dyDescent="0.25">
      <c r="A108" t="s">
        <v>110</v>
      </c>
      <c r="B108" t="s">
        <v>137</v>
      </c>
      <c r="C108" t="s">
        <v>143</v>
      </c>
      <c r="D108" t="s">
        <v>185</v>
      </c>
      <c r="E108" t="s">
        <v>204</v>
      </c>
      <c r="F108" s="1" t="s">
        <v>205</v>
      </c>
      <c r="G108" s="1" t="s">
        <v>206</v>
      </c>
      <c r="H108" s="1" t="s">
        <v>359</v>
      </c>
      <c r="I108" t="str">
        <f t="shared" si="3"/>
        <v>('SL2E-086-P','SL2E','UR-P','IGRIS'),</v>
      </c>
      <c r="J108" t="s">
        <v>708</v>
      </c>
      <c r="K108" s="2" t="s">
        <v>663</v>
      </c>
      <c r="L108" s="3" t="str">
        <f t="shared" si="4"/>
        <v>SET002_107</v>
      </c>
      <c r="M108" t="s">
        <v>705</v>
      </c>
      <c r="N108" t="s">
        <v>706</v>
      </c>
      <c r="O108" t="s">
        <v>707</v>
      </c>
      <c r="P108" t="str">
        <f t="shared" si="5"/>
        <v>UPDATE CardPool SET cards_Display_Order = 'SET002_107' WHERE CardCode = 'SL2E-086-P';</v>
      </c>
    </row>
    <row r="109" spans="1:16" x14ac:dyDescent="0.25">
      <c r="A109" t="s">
        <v>111</v>
      </c>
      <c r="B109" t="s">
        <v>137</v>
      </c>
      <c r="C109" t="s">
        <v>145</v>
      </c>
      <c r="D109" t="s">
        <v>155</v>
      </c>
      <c r="E109" t="s">
        <v>204</v>
      </c>
      <c r="F109" s="1" t="s">
        <v>205</v>
      </c>
      <c r="G109" s="1" t="s">
        <v>206</v>
      </c>
      <c r="H109" s="1" t="s">
        <v>359</v>
      </c>
      <c r="I109" t="str">
        <f t="shared" si="3"/>
        <v>('SL2E-087-P','SL2E','HR-P','SUNG JINWOO'),</v>
      </c>
      <c r="J109" t="s">
        <v>708</v>
      </c>
      <c r="K109" s="2" t="s">
        <v>664</v>
      </c>
      <c r="L109" s="3" t="str">
        <f t="shared" si="4"/>
        <v>SET002_108</v>
      </c>
      <c r="M109" t="s">
        <v>705</v>
      </c>
      <c r="N109" t="s">
        <v>706</v>
      </c>
      <c r="O109" t="s">
        <v>707</v>
      </c>
      <c r="P109" t="str">
        <f t="shared" si="5"/>
        <v>UPDATE CardPool SET cards_Display_Order = 'SET002_108' WHERE CardCode = 'SL2E-087-P';</v>
      </c>
    </row>
    <row r="110" spans="1:16" x14ac:dyDescent="0.25">
      <c r="A110" t="s">
        <v>112</v>
      </c>
      <c r="B110" t="s">
        <v>137</v>
      </c>
      <c r="C110" t="s">
        <v>145</v>
      </c>
      <c r="D110" t="s">
        <v>197</v>
      </c>
      <c r="E110" t="s">
        <v>204</v>
      </c>
      <c r="F110" s="1" t="s">
        <v>205</v>
      </c>
      <c r="G110" s="1" t="s">
        <v>206</v>
      </c>
      <c r="H110" s="1" t="s">
        <v>359</v>
      </c>
      <c r="I110" t="str">
        <f t="shared" si="3"/>
        <v>('SL2E-088-P','SL2E','HR-P','TUSK'),</v>
      </c>
      <c r="J110" t="s">
        <v>708</v>
      </c>
      <c r="K110" s="2" t="s">
        <v>665</v>
      </c>
      <c r="L110" s="3" t="str">
        <f t="shared" si="4"/>
        <v>SET002_109</v>
      </c>
      <c r="M110" t="s">
        <v>705</v>
      </c>
      <c r="N110" t="s">
        <v>706</v>
      </c>
      <c r="O110" t="s">
        <v>707</v>
      </c>
      <c r="P110" t="str">
        <f t="shared" si="5"/>
        <v>UPDATE CardPool SET cards_Display_Order = 'SET002_109' WHERE CardCode = 'SL2E-088-P';</v>
      </c>
    </row>
    <row r="111" spans="1:16" x14ac:dyDescent="0.25">
      <c r="A111" t="s">
        <v>113</v>
      </c>
      <c r="B111" t="s">
        <v>137</v>
      </c>
      <c r="C111" t="s">
        <v>145</v>
      </c>
      <c r="D111" t="s">
        <v>201</v>
      </c>
      <c r="E111" t="s">
        <v>204</v>
      </c>
      <c r="F111" s="1" t="s">
        <v>205</v>
      </c>
      <c r="G111" s="1" t="s">
        <v>206</v>
      </c>
      <c r="H111" s="1" t="s">
        <v>359</v>
      </c>
      <c r="I111" t="str">
        <f t="shared" si="3"/>
        <v>('SL2E-089-P','SL2E','HR-P','THE SHADOW ARMY'),</v>
      </c>
      <c r="J111" t="s">
        <v>708</v>
      </c>
      <c r="K111" s="2" t="s">
        <v>666</v>
      </c>
      <c r="L111" s="3" t="str">
        <f t="shared" si="4"/>
        <v>SET002_110</v>
      </c>
      <c r="M111" t="s">
        <v>705</v>
      </c>
      <c r="N111" t="s">
        <v>706</v>
      </c>
      <c r="O111" t="s">
        <v>707</v>
      </c>
      <c r="P111" t="str">
        <f t="shared" si="5"/>
        <v>UPDATE CardPool SET cards_Display_Order = 'SET002_110' WHERE CardCode = 'SL2E-089-P';</v>
      </c>
    </row>
    <row r="112" spans="1:16" x14ac:dyDescent="0.25">
      <c r="A112" t="s">
        <v>114</v>
      </c>
      <c r="B112" t="s">
        <v>137</v>
      </c>
      <c r="C112" t="s">
        <v>146</v>
      </c>
      <c r="D112" t="s">
        <v>155</v>
      </c>
      <c r="E112" t="s">
        <v>204</v>
      </c>
      <c r="F112" s="1" t="s">
        <v>205</v>
      </c>
      <c r="G112" s="1" t="s">
        <v>206</v>
      </c>
      <c r="H112" s="1" t="s">
        <v>359</v>
      </c>
      <c r="I112" t="str">
        <f t="shared" si="3"/>
        <v>('SL2E-087-SP','SL2E','HR-SP','SUNG JINWOO'),</v>
      </c>
      <c r="J112" t="s">
        <v>708</v>
      </c>
      <c r="K112" s="2" t="s">
        <v>667</v>
      </c>
      <c r="L112" s="3" t="str">
        <f t="shared" si="4"/>
        <v>SET002_111</v>
      </c>
      <c r="M112" t="s">
        <v>705</v>
      </c>
      <c r="N112" t="s">
        <v>706</v>
      </c>
      <c r="O112" t="s">
        <v>707</v>
      </c>
      <c r="P112" t="str">
        <f t="shared" si="5"/>
        <v>UPDATE CardPool SET cards_Display_Order = 'SET002_111' WHERE CardCode = 'SL2E-087-SP';</v>
      </c>
    </row>
    <row r="113" spans="1:16" x14ac:dyDescent="0.25">
      <c r="A113" t="s">
        <v>115</v>
      </c>
      <c r="B113" t="s">
        <v>137</v>
      </c>
      <c r="C113" t="s">
        <v>146</v>
      </c>
      <c r="D113" t="s">
        <v>194</v>
      </c>
      <c r="E113" t="s">
        <v>204</v>
      </c>
      <c r="F113" s="1" t="s">
        <v>205</v>
      </c>
      <c r="G113" s="1" t="s">
        <v>206</v>
      </c>
      <c r="H113" s="1" t="s">
        <v>359</v>
      </c>
      <c r="I113" t="str">
        <f t="shared" si="3"/>
        <v>('SL2E-088-SP','SL2E','HR-SP','KARGALGAN'),</v>
      </c>
      <c r="J113" t="s">
        <v>708</v>
      </c>
      <c r="K113" s="2" t="s">
        <v>668</v>
      </c>
      <c r="L113" s="3" t="str">
        <f t="shared" si="4"/>
        <v>SET002_112</v>
      </c>
      <c r="M113" t="s">
        <v>705</v>
      </c>
      <c r="N113" t="s">
        <v>706</v>
      </c>
      <c r="O113" t="s">
        <v>707</v>
      </c>
      <c r="P113" t="str">
        <f t="shared" si="5"/>
        <v>UPDATE CardPool SET cards_Display_Order = 'SET002_112' WHERE CardCode = 'SL2E-088-SP';</v>
      </c>
    </row>
    <row r="114" spans="1:16" x14ac:dyDescent="0.25">
      <c r="A114" t="s">
        <v>116</v>
      </c>
      <c r="B114" t="s">
        <v>137</v>
      </c>
      <c r="C114" t="s">
        <v>146</v>
      </c>
      <c r="D114" t="s">
        <v>201</v>
      </c>
      <c r="E114" t="s">
        <v>204</v>
      </c>
      <c r="F114" s="1" t="s">
        <v>205</v>
      </c>
      <c r="G114" s="1" t="s">
        <v>206</v>
      </c>
      <c r="H114" s="1" t="s">
        <v>359</v>
      </c>
      <c r="I114" t="str">
        <f t="shared" si="3"/>
        <v>('SL2E-089-SP','SL2E','HR-SP','THE SHADOW ARMY'),</v>
      </c>
      <c r="J114" t="s">
        <v>708</v>
      </c>
      <c r="K114" s="2" t="s">
        <v>669</v>
      </c>
      <c r="L114" s="3" t="str">
        <f t="shared" si="4"/>
        <v>SET002_113</v>
      </c>
      <c r="M114" t="s">
        <v>705</v>
      </c>
      <c r="N114" t="s">
        <v>706</v>
      </c>
      <c r="O114" t="s">
        <v>707</v>
      </c>
      <c r="P114" t="str">
        <f t="shared" si="5"/>
        <v>UPDATE CardPool SET cards_Display_Order = 'SET002_113' WHERE CardCode = 'SL2E-089-SP';</v>
      </c>
    </row>
    <row r="115" spans="1:16" x14ac:dyDescent="0.25">
      <c r="A115" t="s">
        <v>120</v>
      </c>
      <c r="B115" t="s">
        <v>137</v>
      </c>
      <c r="C115" t="s">
        <v>147</v>
      </c>
      <c r="D115" t="s">
        <v>155</v>
      </c>
      <c r="E115" t="s">
        <v>204</v>
      </c>
      <c r="F115" s="1" t="s">
        <v>205</v>
      </c>
      <c r="G115" s="1" t="s">
        <v>206</v>
      </c>
      <c r="H115" s="1" t="s">
        <v>359</v>
      </c>
      <c r="I115" t="str">
        <f t="shared" si="3"/>
        <v>('SL2E-PM 01','SL2E','PM','SUNG JINWOO'),</v>
      </c>
      <c r="J115" t="s">
        <v>708</v>
      </c>
      <c r="K115" s="2" t="s">
        <v>670</v>
      </c>
      <c r="L115" s="3" t="str">
        <f t="shared" si="4"/>
        <v>SET002_114</v>
      </c>
      <c r="M115" t="s">
        <v>705</v>
      </c>
      <c r="N115" t="s">
        <v>706</v>
      </c>
      <c r="O115" t="s">
        <v>707</v>
      </c>
      <c r="P115" t="str">
        <f t="shared" si="5"/>
        <v>UPDATE CardPool SET cards_Display_Order = 'SET002_114' WHERE CardCode = 'SL2E-PM 01';</v>
      </c>
    </row>
    <row r="116" spans="1:16" x14ac:dyDescent="0.25">
      <c r="A116" t="s">
        <v>121</v>
      </c>
      <c r="B116" t="s">
        <v>137</v>
      </c>
      <c r="C116" t="s">
        <v>147</v>
      </c>
      <c r="D116" t="s">
        <v>156</v>
      </c>
      <c r="E116" t="s">
        <v>204</v>
      </c>
      <c r="F116" s="1" t="s">
        <v>205</v>
      </c>
      <c r="G116" s="1" t="s">
        <v>206</v>
      </c>
      <c r="H116" s="1" t="s">
        <v>359</v>
      </c>
      <c r="I116" t="str">
        <f t="shared" si="3"/>
        <v>('SL2E-PM 02','SL2E','PM','YOO JINHO'),</v>
      </c>
      <c r="J116" t="s">
        <v>708</v>
      </c>
      <c r="K116" s="2" t="s">
        <v>671</v>
      </c>
      <c r="L116" s="3" t="str">
        <f t="shared" si="4"/>
        <v>SET002_115</v>
      </c>
      <c r="M116" t="s">
        <v>705</v>
      </c>
      <c r="N116" t="s">
        <v>706</v>
      </c>
      <c r="O116" t="s">
        <v>707</v>
      </c>
      <c r="P116" t="str">
        <f t="shared" si="5"/>
        <v>UPDATE CardPool SET cards_Display_Order = 'SET002_115' WHERE CardCode = 'SL2E-PM 02';</v>
      </c>
    </row>
    <row r="117" spans="1:16" x14ac:dyDescent="0.25">
      <c r="A117" t="s">
        <v>122</v>
      </c>
      <c r="B117" t="s">
        <v>137</v>
      </c>
      <c r="C117" t="s">
        <v>147</v>
      </c>
      <c r="D117" t="s">
        <v>159</v>
      </c>
      <c r="E117" t="s">
        <v>204</v>
      </c>
      <c r="F117" s="1" t="s">
        <v>205</v>
      </c>
      <c r="G117" s="1" t="s">
        <v>206</v>
      </c>
      <c r="H117" s="1" t="s">
        <v>359</v>
      </c>
      <c r="I117" t="str">
        <f t="shared" si="3"/>
        <v>('SL2E-PM 03','SL2E','PM','CHA HAE-IN'),</v>
      </c>
      <c r="J117" t="s">
        <v>708</v>
      </c>
      <c r="K117" s="2" t="s">
        <v>672</v>
      </c>
      <c r="L117" s="3" t="str">
        <f t="shared" si="4"/>
        <v>SET002_116</v>
      </c>
      <c r="M117" t="s">
        <v>705</v>
      </c>
      <c r="N117" t="s">
        <v>706</v>
      </c>
      <c r="O117" t="s">
        <v>707</v>
      </c>
      <c r="P117" t="str">
        <f t="shared" si="5"/>
        <v>UPDATE CardPool SET cards_Display_Order = 'SET002_116' WHERE CardCode = 'SL2E-PM 03';</v>
      </c>
    </row>
    <row r="118" spans="1:16" x14ac:dyDescent="0.25">
      <c r="A118" t="s">
        <v>123</v>
      </c>
      <c r="B118" t="s">
        <v>137</v>
      </c>
      <c r="C118" t="s">
        <v>147</v>
      </c>
      <c r="D118" t="s">
        <v>158</v>
      </c>
      <c r="E118" t="s">
        <v>204</v>
      </c>
      <c r="F118" s="1" t="s">
        <v>205</v>
      </c>
      <c r="G118" s="1" t="s">
        <v>206</v>
      </c>
      <c r="H118" s="1" t="s">
        <v>359</v>
      </c>
      <c r="I118" t="str">
        <f t="shared" si="3"/>
        <v>('SL2E-PM 04','SL2E','PM','CHOI JONG-IN'),</v>
      </c>
      <c r="J118" t="s">
        <v>708</v>
      </c>
      <c r="K118" s="2" t="s">
        <v>673</v>
      </c>
      <c r="L118" s="3" t="str">
        <f t="shared" si="4"/>
        <v>SET002_117</v>
      </c>
      <c r="M118" t="s">
        <v>705</v>
      </c>
      <c r="N118" t="s">
        <v>706</v>
      </c>
      <c r="O118" t="s">
        <v>707</v>
      </c>
      <c r="P118" t="str">
        <f t="shared" si="5"/>
        <v>UPDATE CardPool SET cards_Display_Order = 'SET002_117' WHERE CardCode = 'SL2E-PM 04';</v>
      </c>
    </row>
    <row r="119" spans="1:16" x14ac:dyDescent="0.25">
      <c r="A119" t="s">
        <v>124</v>
      </c>
      <c r="B119" t="s">
        <v>137</v>
      </c>
      <c r="C119" t="s">
        <v>147</v>
      </c>
      <c r="D119" t="s">
        <v>157</v>
      </c>
      <c r="E119" t="s">
        <v>204</v>
      </c>
      <c r="F119" s="1" t="s">
        <v>205</v>
      </c>
      <c r="G119" s="1" t="s">
        <v>206</v>
      </c>
      <c r="H119" s="1" t="s">
        <v>359</v>
      </c>
      <c r="I119" t="str">
        <f t="shared" si="3"/>
        <v>('SL2E-PM 05','SL2E','PM','BAEK YOONHO'),</v>
      </c>
      <c r="J119" t="s">
        <v>708</v>
      </c>
      <c r="K119" s="2" t="s">
        <v>674</v>
      </c>
      <c r="L119" s="3" t="str">
        <f t="shared" si="4"/>
        <v>SET002_118</v>
      </c>
      <c r="M119" t="s">
        <v>705</v>
      </c>
      <c r="N119" t="s">
        <v>706</v>
      </c>
      <c r="O119" t="s">
        <v>707</v>
      </c>
      <c r="P119" t="str">
        <f t="shared" si="5"/>
        <v>UPDATE CardPool SET cards_Display_Order = 'SET002_118' WHERE CardCode = 'SL2E-PM 05';</v>
      </c>
    </row>
    <row r="120" spans="1:16" x14ac:dyDescent="0.25">
      <c r="A120" t="s">
        <v>125</v>
      </c>
      <c r="B120" t="s">
        <v>137</v>
      </c>
      <c r="C120" t="s">
        <v>147</v>
      </c>
      <c r="D120" t="s">
        <v>161</v>
      </c>
      <c r="E120" t="s">
        <v>204</v>
      </c>
      <c r="F120" s="1" t="s">
        <v>205</v>
      </c>
      <c r="G120" s="1" t="s">
        <v>206</v>
      </c>
      <c r="H120" s="1" t="s">
        <v>359</v>
      </c>
      <c r="I120" t="str">
        <f t="shared" si="3"/>
        <v>('SL2E-PM 06','SL2E','PM','GO GUNHEE'),</v>
      </c>
      <c r="J120" t="s">
        <v>708</v>
      </c>
      <c r="K120" s="2" t="s">
        <v>675</v>
      </c>
      <c r="L120" s="3" t="str">
        <f t="shared" si="4"/>
        <v>SET002_119</v>
      </c>
      <c r="M120" t="s">
        <v>705</v>
      </c>
      <c r="N120" t="s">
        <v>706</v>
      </c>
      <c r="O120" t="s">
        <v>707</v>
      </c>
      <c r="P120" t="str">
        <f t="shared" si="5"/>
        <v>UPDATE CardPool SET cards_Display_Order = 'SET002_119' WHERE CardCode = 'SL2E-PM 06';</v>
      </c>
    </row>
    <row r="121" spans="1:16" x14ac:dyDescent="0.25">
      <c r="A121" t="s">
        <v>126</v>
      </c>
      <c r="B121" t="s">
        <v>137</v>
      </c>
      <c r="C121" t="s">
        <v>147</v>
      </c>
      <c r="D121" t="s">
        <v>160</v>
      </c>
      <c r="E121" t="s">
        <v>204</v>
      </c>
      <c r="F121" s="1" t="s">
        <v>205</v>
      </c>
      <c r="G121" s="1" t="s">
        <v>206</v>
      </c>
      <c r="H121" s="1" t="s">
        <v>359</v>
      </c>
      <c r="I121" t="str">
        <f t="shared" si="3"/>
        <v>('SL2E-PM 07','SL2E','PM','WOO JINCHUL'),</v>
      </c>
      <c r="J121" t="s">
        <v>708</v>
      </c>
      <c r="K121" s="2" t="s">
        <v>676</v>
      </c>
      <c r="L121" s="3" t="str">
        <f t="shared" si="4"/>
        <v>SET002_120</v>
      </c>
      <c r="M121" t="s">
        <v>705</v>
      </c>
      <c r="N121" t="s">
        <v>706</v>
      </c>
      <c r="O121" t="s">
        <v>707</v>
      </c>
      <c r="P121" t="str">
        <f t="shared" si="5"/>
        <v>UPDATE CardPool SET cards_Display_Order = 'SET002_120' WHERE CardCode = 'SL2E-PM 07';</v>
      </c>
    </row>
    <row r="122" spans="1:16" x14ac:dyDescent="0.25">
      <c r="A122" t="s">
        <v>127</v>
      </c>
      <c r="B122" t="s">
        <v>137</v>
      </c>
      <c r="C122" t="s">
        <v>150</v>
      </c>
      <c r="D122" t="s">
        <v>155</v>
      </c>
      <c r="E122" t="s">
        <v>204</v>
      </c>
      <c r="F122" s="1" t="s">
        <v>205</v>
      </c>
      <c r="G122" s="1" t="s">
        <v>206</v>
      </c>
      <c r="H122" s="1" t="s">
        <v>359</v>
      </c>
      <c r="I122" t="str">
        <f t="shared" si="3"/>
        <v>('SL2E-PM-P 01','SL2E','PM-P','SUNG JINWOO'),</v>
      </c>
      <c r="J122" t="s">
        <v>708</v>
      </c>
      <c r="K122" s="2" t="s">
        <v>677</v>
      </c>
      <c r="L122" s="3" t="str">
        <f t="shared" si="4"/>
        <v>SET002_121</v>
      </c>
      <c r="M122" t="s">
        <v>705</v>
      </c>
      <c r="N122" t="s">
        <v>706</v>
      </c>
      <c r="O122" t="s">
        <v>707</v>
      </c>
      <c r="P122" t="str">
        <f t="shared" si="5"/>
        <v>UPDATE CardPool SET cards_Display_Order = 'SET002_121' WHERE CardCode = 'SL2E-PM-P 01';</v>
      </c>
    </row>
    <row r="123" spans="1:16" x14ac:dyDescent="0.25">
      <c r="A123" t="s">
        <v>128</v>
      </c>
      <c r="B123" t="s">
        <v>137</v>
      </c>
      <c r="C123" t="s">
        <v>150</v>
      </c>
      <c r="D123" t="s">
        <v>156</v>
      </c>
      <c r="E123" t="s">
        <v>204</v>
      </c>
      <c r="F123" s="1" t="s">
        <v>205</v>
      </c>
      <c r="G123" s="1" t="s">
        <v>206</v>
      </c>
      <c r="H123" s="1" t="s">
        <v>359</v>
      </c>
      <c r="I123" t="str">
        <f t="shared" si="3"/>
        <v>('SL2E-PM-P 02','SL2E','PM-P','YOO JINHO'),</v>
      </c>
      <c r="J123" t="s">
        <v>708</v>
      </c>
      <c r="K123" s="2" t="s">
        <v>678</v>
      </c>
      <c r="L123" s="3" t="str">
        <f t="shared" si="4"/>
        <v>SET002_122</v>
      </c>
      <c r="M123" t="s">
        <v>705</v>
      </c>
      <c r="N123" t="s">
        <v>706</v>
      </c>
      <c r="O123" t="s">
        <v>707</v>
      </c>
      <c r="P123" t="str">
        <f t="shared" si="5"/>
        <v>UPDATE CardPool SET cards_Display_Order = 'SET002_122' WHERE CardCode = 'SL2E-PM-P 02';</v>
      </c>
    </row>
    <row r="124" spans="1:16" x14ac:dyDescent="0.25">
      <c r="A124" t="s">
        <v>129</v>
      </c>
      <c r="B124" t="s">
        <v>137</v>
      </c>
      <c r="C124" t="s">
        <v>150</v>
      </c>
      <c r="D124" t="s">
        <v>159</v>
      </c>
      <c r="E124" t="s">
        <v>204</v>
      </c>
      <c r="F124" s="1" t="s">
        <v>205</v>
      </c>
      <c r="G124" s="1" t="s">
        <v>206</v>
      </c>
      <c r="H124" s="1" t="s">
        <v>359</v>
      </c>
      <c r="I124" t="str">
        <f t="shared" si="3"/>
        <v>('SL2E-PM-P 03','SL2E','PM-P','CHA HAE-IN'),</v>
      </c>
      <c r="J124" t="s">
        <v>708</v>
      </c>
      <c r="K124" s="2" t="s">
        <v>679</v>
      </c>
      <c r="L124" s="3" t="str">
        <f t="shared" si="4"/>
        <v>SET002_123</v>
      </c>
      <c r="M124" t="s">
        <v>705</v>
      </c>
      <c r="N124" t="s">
        <v>706</v>
      </c>
      <c r="O124" t="s">
        <v>707</v>
      </c>
      <c r="P124" t="str">
        <f t="shared" si="5"/>
        <v>UPDATE CardPool SET cards_Display_Order = 'SET002_123' WHERE CardCode = 'SL2E-PM-P 03';</v>
      </c>
    </row>
    <row r="125" spans="1:16" x14ac:dyDescent="0.25">
      <c r="A125" t="s">
        <v>130</v>
      </c>
      <c r="B125" t="s">
        <v>137</v>
      </c>
      <c r="C125" t="s">
        <v>150</v>
      </c>
      <c r="D125" t="s">
        <v>158</v>
      </c>
      <c r="E125" t="s">
        <v>204</v>
      </c>
      <c r="F125" s="1" t="s">
        <v>205</v>
      </c>
      <c r="G125" s="1" t="s">
        <v>206</v>
      </c>
      <c r="H125" s="1" t="s">
        <v>359</v>
      </c>
      <c r="I125" t="str">
        <f t="shared" si="3"/>
        <v>('SL2E-PM-P 04','SL2E','PM-P','CHOI JONG-IN'),</v>
      </c>
      <c r="J125" t="s">
        <v>708</v>
      </c>
      <c r="K125" s="2" t="s">
        <v>680</v>
      </c>
      <c r="L125" s="3" t="str">
        <f t="shared" si="4"/>
        <v>SET002_124</v>
      </c>
      <c r="M125" t="s">
        <v>705</v>
      </c>
      <c r="N125" t="s">
        <v>706</v>
      </c>
      <c r="O125" t="s">
        <v>707</v>
      </c>
      <c r="P125" t="str">
        <f t="shared" si="5"/>
        <v>UPDATE CardPool SET cards_Display_Order = 'SET002_124' WHERE CardCode = 'SL2E-PM-P 04';</v>
      </c>
    </row>
    <row r="126" spans="1:16" x14ac:dyDescent="0.25">
      <c r="A126" t="s">
        <v>131</v>
      </c>
      <c r="B126" t="s">
        <v>137</v>
      </c>
      <c r="C126" t="s">
        <v>150</v>
      </c>
      <c r="D126" t="s">
        <v>157</v>
      </c>
      <c r="E126" t="s">
        <v>204</v>
      </c>
      <c r="F126" s="1" t="s">
        <v>205</v>
      </c>
      <c r="G126" s="1" t="s">
        <v>206</v>
      </c>
      <c r="H126" s="1" t="s">
        <v>359</v>
      </c>
      <c r="I126" t="str">
        <f t="shared" si="3"/>
        <v>('SL2E-PM-P 05','SL2E','PM-P','BAEK YOONHO'),</v>
      </c>
      <c r="J126" t="s">
        <v>708</v>
      </c>
      <c r="K126" s="2" t="s">
        <v>681</v>
      </c>
      <c r="L126" s="3" t="str">
        <f t="shared" si="4"/>
        <v>SET002_125</v>
      </c>
      <c r="M126" t="s">
        <v>705</v>
      </c>
      <c r="N126" t="s">
        <v>706</v>
      </c>
      <c r="O126" t="s">
        <v>707</v>
      </c>
      <c r="P126" t="str">
        <f t="shared" si="5"/>
        <v>UPDATE CardPool SET cards_Display_Order = 'SET002_125' WHERE CardCode = 'SL2E-PM-P 05';</v>
      </c>
    </row>
    <row r="127" spans="1:16" x14ac:dyDescent="0.25">
      <c r="A127" t="s">
        <v>132</v>
      </c>
      <c r="B127" t="s">
        <v>137</v>
      </c>
      <c r="C127" t="s">
        <v>150</v>
      </c>
      <c r="D127" t="s">
        <v>161</v>
      </c>
      <c r="E127" t="s">
        <v>204</v>
      </c>
      <c r="F127" s="1" t="s">
        <v>205</v>
      </c>
      <c r="G127" s="1" t="s">
        <v>206</v>
      </c>
      <c r="H127" s="1" t="s">
        <v>359</v>
      </c>
      <c r="I127" t="str">
        <f t="shared" si="3"/>
        <v>('SL2E-PM-P 06','SL2E','PM-P','GO GUNHEE'),</v>
      </c>
      <c r="J127" t="s">
        <v>708</v>
      </c>
      <c r="K127" s="2" t="s">
        <v>682</v>
      </c>
      <c r="L127" s="3" t="str">
        <f t="shared" si="4"/>
        <v>SET002_126</v>
      </c>
      <c r="M127" t="s">
        <v>705</v>
      </c>
      <c r="N127" t="s">
        <v>706</v>
      </c>
      <c r="O127" t="s">
        <v>707</v>
      </c>
      <c r="P127" t="str">
        <f t="shared" si="5"/>
        <v>UPDATE CardPool SET cards_Display_Order = 'SET002_126' WHERE CardCode = 'SL2E-PM-P 06';</v>
      </c>
    </row>
    <row r="128" spans="1:16" x14ac:dyDescent="0.25">
      <c r="A128" t="s">
        <v>152</v>
      </c>
      <c r="B128" t="s">
        <v>137</v>
      </c>
      <c r="C128" t="s">
        <v>150</v>
      </c>
      <c r="D128" t="s">
        <v>160</v>
      </c>
      <c r="E128" t="s">
        <v>204</v>
      </c>
      <c r="F128" s="1" t="s">
        <v>205</v>
      </c>
      <c r="G128" s="1" t="s">
        <v>206</v>
      </c>
      <c r="H128" s="1" t="s">
        <v>359</v>
      </c>
      <c r="I128" t="str">
        <f t="shared" si="3"/>
        <v>('SL2E-PM-P 07','SL2E','PM-P','WOO JINCHUL'),</v>
      </c>
      <c r="J128" t="s">
        <v>708</v>
      </c>
      <c r="K128" s="2" t="s">
        <v>683</v>
      </c>
      <c r="L128" s="3" t="str">
        <f t="shared" si="4"/>
        <v>SET002_127</v>
      </c>
      <c r="M128" t="s">
        <v>705</v>
      </c>
      <c r="N128" t="s">
        <v>706</v>
      </c>
      <c r="O128" t="s">
        <v>707</v>
      </c>
      <c r="P128" t="str">
        <f t="shared" si="5"/>
        <v>UPDATE CardPool SET cards_Display_Order = 'SET002_127' WHERE CardCode = 'SL2E-PM-P 07';</v>
      </c>
    </row>
    <row r="129" spans="1:16" x14ac:dyDescent="0.25">
      <c r="A129" t="s">
        <v>117</v>
      </c>
      <c r="B129" t="s">
        <v>137</v>
      </c>
      <c r="C129" t="s">
        <v>148</v>
      </c>
      <c r="D129" t="s">
        <v>155</v>
      </c>
      <c r="E129" t="s">
        <v>204</v>
      </c>
      <c r="F129" s="1" t="s">
        <v>205</v>
      </c>
      <c r="G129" s="1" t="s">
        <v>206</v>
      </c>
      <c r="H129" s="1" t="s">
        <v>359</v>
      </c>
      <c r="I129" t="str">
        <f t="shared" si="3"/>
        <v>('SL2E-SEC 001','SL2E','SEC','SUNG JINWOO'),</v>
      </c>
      <c r="J129" t="s">
        <v>708</v>
      </c>
      <c r="K129" s="2" t="s">
        <v>684</v>
      </c>
      <c r="L129" s="3" t="str">
        <f t="shared" si="4"/>
        <v>SET002_128</v>
      </c>
      <c r="M129" t="s">
        <v>705</v>
      </c>
      <c r="N129" t="s">
        <v>706</v>
      </c>
      <c r="O129" t="s">
        <v>707</v>
      </c>
      <c r="P129" t="str">
        <f t="shared" si="5"/>
        <v>UPDATE CardPool SET cards_Display_Order = 'SET002_128' WHERE CardCode = 'SL2E-SEC 001';</v>
      </c>
    </row>
    <row r="130" spans="1:16" x14ac:dyDescent="0.25">
      <c r="A130" t="s">
        <v>118</v>
      </c>
      <c r="B130" t="s">
        <v>137</v>
      </c>
      <c r="C130" t="s">
        <v>148</v>
      </c>
      <c r="D130" t="s">
        <v>159</v>
      </c>
      <c r="E130" t="s">
        <v>204</v>
      </c>
      <c r="F130" s="1" t="s">
        <v>205</v>
      </c>
      <c r="G130" s="1" t="s">
        <v>206</v>
      </c>
      <c r="H130" s="1" t="s">
        <v>359</v>
      </c>
      <c r="I130" t="str">
        <f t="shared" si="3"/>
        <v>('SL2E-SEC 002','SL2E','SEC','CHA HAE-IN'),</v>
      </c>
      <c r="J130" t="s">
        <v>708</v>
      </c>
      <c r="K130" s="2" t="s">
        <v>685</v>
      </c>
      <c r="L130" s="3" t="str">
        <f t="shared" si="4"/>
        <v>SET002_129</v>
      </c>
      <c r="M130" t="s">
        <v>705</v>
      </c>
      <c r="N130" t="s">
        <v>706</v>
      </c>
      <c r="O130" t="s">
        <v>707</v>
      </c>
      <c r="P130" t="str">
        <f t="shared" si="5"/>
        <v>UPDATE CardPool SET cards_Display_Order = 'SET002_129' WHERE CardCode = 'SL2E-SEC 002';</v>
      </c>
    </row>
    <row r="131" spans="1:16" x14ac:dyDescent="0.25">
      <c r="A131" t="s">
        <v>119</v>
      </c>
      <c r="B131" t="s">
        <v>137</v>
      </c>
      <c r="C131" t="s">
        <v>148</v>
      </c>
      <c r="D131" t="s">
        <v>202</v>
      </c>
      <c r="E131" t="s">
        <v>204</v>
      </c>
      <c r="F131" s="1" t="s">
        <v>205</v>
      </c>
      <c r="G131" s="1" t="s">
        <v>206</v>
      </c>
      <c r="H131" s="1" t="s">
        <v>359</v>
      </c>
      <c r="I131" t="str">
        <f t="shared" ref="I131:I135" si="6">CONCATENATE(E131,A131,F131,B131,F131,C131,F131,D131,G131,H131)</f>
        <v>('SL2E-SEC 003','SL2E','SEC','SUNG JINWOO / CHA HAE-IN'),</v>
      </c>
      <c r="J131" t="s">
        <v>708</v>
      </c>
      <c r="K131" s="2" t="s">
        <v>686</v>
      </c>
      <c r="L131" s="3" t="str">
        <f t="shared" ref="L131:L135" si="7">_xlfn.CONCAT(J131,"_",K131)</f>
        <v>SET002_130</v>
      </c>
      <c r="M131" t="s">
        <v>705</v>
      </c>
      <c r="N131" t="s">
        <v>706</v>
      </c>
      <c r="O131" t="s">
        <v>707</v>
      </c>
      <c r="P131" t="str">
        <f t="shared" ref="P131:P135" si="8">_xlfn.CONCAT(M131,L131,N131,A131,O131)</f>
        <v>UPDATE CardPool SET cards_Display_Order = 'SET002_130' WHERE CardCode = 'SL2E-SEC 003';</v>
      </c>
    </row>
    <row r="132" spans="1:16" x14ac:dyDescent="0.25">
      <c r="A132" t="s">
        <v>133</v>
      </c>
      <c r="B132" t="s">
        <v>137</v>
      </c>
      <c r="C132" t="s">
        <v>153</v>
      </c>
      <c r="D132" t="s">
        <v>155</v>
      </c>
      <c r="E132" t="s">
        <v>204</v>
      </c>
      <c r="F132" s="1" t="s">
        <v>205</v>
      </c>
      <c r="G132" s="1" t="s">
        <v>206</v>
      </c>
      <c r="H132" s="1" t="s">
        <v>359</v>
      </c>
      <c r="I132" t="str">
        <f t="shared" si="6"/>
        <v>('SL2E-???','SL2E','???','SUNG JINWOO'),</v>
      </c>
      <c r="J132" t="s">
        <v>708</v>
      </c>
      <c r="K132" s="2" t="s">
        <v>687</v>
      </c>
      <c r="L132" s="3" t="str">
        <f t="shared" si="7"/>
        <v>SET002_131</v>
      </c>
      <c r="M132" t="s">
        <v>705</v>
      </c>
      <c r="N132" t="s">
        <v>706</v>
      </c>
      <c r="O132" t="s">
        <v>707</v>
      </c>
      <c r="P132" t="str">
        <f t="shared" si="8"/>
        <v>UPDATE CardPool SET cards_Display_Order = 'SET002_131' WHERE CardCode = 'SL2E-???';</v>
      </c>
    </row>
    <row r="133" spans="1:16" x14ac:dyDescent="0.25">
      <c r="A133" t="s">
        <v>134</v>
      </c>
      <c r="B133" t="s">
        <v>137</v>
      </c>
      <c r="C133" t="s">
        <v>149</v>
      </c>
      <c r="D133" t="s">
        <v>203</v>
      </c>
      <c r="E133" t="s">
        <v>204</v>
      </c>
      <c r="F133" s="1" t="s">
        <v>205</v>
      </c>
      <c r="G133" s="1" t="s">
        <v>206</v>
      </c>
      <c r="H133" s="1" t="s">
        <v>359</v>
      </c>
      <c r="I133" t="str">
        <f t="shared" si="6"/>
        <v>('SL2E-SG01','SL2E','SG','SOLO LEVELING'),</v>
      </c>
      <c r="J133" t="s">
        <v>708</v>
      </c>
      <c r="K133" s="2" t="s">
        <v>688</v>
      </c>
      <c r="L133" s="3" t="str">
        <f t="shared" si="7"/>
        <v>SET002_132</v>
      </c>
      <c r="M133" t="s">
        <v>705</v>
      </c>
      <c r="N133" t="s">
        <v>706</v>
      </c>
      <c r="O133" t="s">
        <v>707</v>
      </c>
      <c r="P133" t="str">
        <f t="shared" si="8"/>
        <v>UPDATE CardPool SET cards_Display_Order = 'SET002_132' WHERE CardCode = 'SL2E-SG01';</v>
      </c>
    </row>
    <row r="134" spans="1:16" x14ac:dyDescent="0.25">
      <c r="A134" t="s">
        <v>135</v>
      </c>
      <c r="B134" t="s">
        <v>137</v>
      </c>
      <c r="C134" t="s">
        <v>151</v>
      </c>
      <c r="D134" t="s">
        <v>203</v>
      </c>
      <c r="E134" t="s">
        <v>204</v>
      </c>
      <c r="F134" s="1" t="s">
        <v>205</v>
      </c>
      <c r="G134" s="1" t="s">
        <v>206</v>
      </c>
      <c r="H134" s="1" t="s">
        <v>359</v>
      </c>
      <c r="I134" t="str">
        <f t="shared" si="6"/>
        <v>('SL2E-BN-001','SL2E','BN','SOLO LEVELING'),</v>
      </c>
      <c r="J134" t="s">
        <v>708</v>
      </c>
      <c r="K134" s="2" t="s">
        <v>689</v>
      </c>
      <c r="L134" s="3" t="str">
        <f t="shared" si="7"/>
        <v>SET002_133</v>
      </c>
      <c r="M134" t="s">
        <v>705</v>
      </c>
      <c r="N134" t="s">
        <v>706</v>
      </c>
      <c r="O134" t="s">
        <v>707</v>
      </c>
      <c r="P134" t="str">
        <f t="shared" si="8"/>
        <v>UPDATE CardPool SET cards_Display_Order = 'SET002_133' WHERE CardCode = 'SL2E-BN-001';</v>
      </c>
    </row>
    <row r="135" spans="1:16" x14ac:dyDescent="0.25">
      <c r="A135" t="s">
        <v>136</v>
      </c>
      <c r="B135" t="s">
        <v>137</v>
      </c>
      <c r="C135" t="s">
        <v>154</v>
      </c>
      <c r="D135" t="s">
        <v>203</v>
      </c>
      <c r="E135" t="s">
        <v>204</v>
      </c>
      <c r="F135" s="1" t="s">
        <v>205</v>
      </c>
      <c r="G135" s="1" t="s">
        <v>206</v>
      </c>
      <c r="H135" s="1" t="s">
        <v>359</v>
      </c>
      <c r="I135" t="str">
        <f t="shared" si="6"/>
        <v>('SL2E-STORE PROMO','SL2E','STORE','SOLO LEVELING'),</v>
      </c>
      <c r="J135" t="s">
        <v>708</v>
      </c>
      <c r="K135" s="2" t="s">
        <v>690</v>
      </c>
      <c r="L135" s="3" t="str">
        <f t="shared" si="7"/>
        <v>SET002_134</v>
      </c>
      <c r="M135" t="s">
        <v>705</v>
      </c>
      <c r="N135" t="s">
        <v>706</v>
      </c>
      <c r="O135" t="s">
        <v>707</v>
      </c>
      <c r="P135" t="str">
        <f t="shared" si="8"/>
        <v>UPDATE CardPool SET cards_Display_Order = 'SET002_134' WHERE CardCode = 'SL2E-STORE PROMO';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9DA3-437E-429F-AA73-F9FEB0259CC4}">
  <dimension ref="A1:P149"/>
  <sheetViews>
    <sheetView topLeftCell="B1" workbookViewId="0">
      <selection activeCell="J1" sqref="J1:P1048576"/>
    </sheetView>
  </sheetViews>
  <sheetFormatPr defaultRowHeight="15" x14ac:dyDescent="0.25"/>
  <cols>
    <col min="1" max="1" width="21.140625" bestFit="1" customWidth="1"/>
    <col min="4" max="4" width="26.42578125" customWidth="1"/>
    <col min="9" max="9" width="45.7109375" customWidth="1"/>
    <col min="10" max="10" width="7" bestFit="1" customWidth="1"/>
    <col min="11" max="11" width="14" style="2" customWidth="1"/>
    <col min="12" max="12" width="11" style="3" bestFit="1" customWidth="1"/>
  </cols>
  <sheetData>
    <row r="1" spans="1:16" x14ac:dyDescent="0.25">
      <c r="A1" t="s">
        <v>3</v>
      </c>
      <c r="B1" t="s">
        <v>0</v>
      </c>
      <c r="C1" t="s">
        <v>1</v>
      </c>
      <c r="D1" t="s">
        <v>2</v>
      </c>
      <c r="J1" t="s">
        <v>554</v>
      </c>
      <c r="K1" s="2" t="s">
        <v>553</v>
      </c>
    </row>
    <row r="2" spans="1:16" x14ac:dyDescent="0.25">
      <c r="A2" t="s">
        <v>373</v>
      </c>
      <c r="B2" t="s">
        <v>508</v>
      </c>
      <c r="C2" t="s">
        <v>138</v>
      </c>
      <c r="D2" t="s">
        <v>155</v>
      </c>
      <c r="E2" t="s">
        <v>204</v>
      </c>
      <c r="F2" s="1" t="s">
        <v>205</v>
      </c>
      <c r="G2" s="1" t="s">
        <v>206</v>
      </c>
      <c r="H2" s="1" t="s">
        <v>359</v>
      </c>
      <c r="I2" t="str">
        <f>CONCATENATE(E2,A2,F2,B2,F2,C2,F2,D2,G2,H2)</f>
        <v>('SL3E-001','SL3E','C','SUNG JINWOO'),</v>
      </c>
      <c r="J2" t="s">
        <v>556</v>
      </c>
      <c r="K2" s="2" t="s">
        <v>557</v>
      </c>
      <c r="L2" s="3" t="str">
        <f>_xlfn.CONCAT(J2,"_",K2)</f>
        <v>SET003_001</v>
      </c>
      <c r="M2" t="s">
        <v>705</v>
      </c>
      <c r="N2" t="s">
        <v>706</v>
      </c>
      <c r="O2" t="s">
        <v>707</v>
      </c>
      <c r="P2" t="str">
        <f>_xlfn.CONCAT(M2,L2,N2,A2,O2)</f>
        <v>UPDATE CardPool SET cards_Display_Order = 'SET003_001' WHERE CardCode = 'SL3E-001';</v>
      </c>
    </row>
    <row r="3" spans="1:16" x14ac:dyDescent="0.25">
      <c r="A3" t="s">
        <v>374</v>
      </c>
      <c r="B3" t="s">
        <v>508</v>
      </c>
      <c r="C3" t="s">
        <v>138</v>
      </c>
      <c r="D3" t="s">
        <v>156</v>
      </c>
      <c r="E3" t="s">
        <v>204</v>
      </c>
      <c r="F3" s="1" t="s">
        <v>205</v>
      </c>
      <c r="G3" s="1" t="s">
        <v>206</v>
      </c>
      <c r="H3" s="1" t="s">
        <v>359</v>
      </c>
      <c r="I3" t="str">
        <f t="shared" ref="I3:I66" si="0">CONCATENATE(E3,A3,F3,B3,F3,C3,F3,D3,G3,H3)</f>
        <v>('SL3E-002','SL3E','C','YOO JINHO'),</v>
      </c>
      <c r="J3" t="s">
        <v>556</v>
      </c>
      <c r="K3" s="2" t="s">
        <v>558</v>
      </c>
      <c r="L3" s="3" t="str">
        <f t="shared" ref="L3:L66" si="1">_xlfn.CONCAT(J3,"_",K3)</f>
        <v>SET003_002</v>
      </c>
      <c r="M3" t="s">
        <v>705</v>
      </c>
      <c r="N3" t="s">
        <v>706</v>
      </c>
      <c r="O3" t="s">
        <v>707</v>
      </c>
      <c r="P3" t="str">
        <f t="shared" ref="P3:P66" si="2">_xlfn.CONCAT(M3,L3,N3,A3,O3)</f>
        <v>UPDATE CardPool SET cards_Display_Order = 'SET003_002' WHERE CardCode = 'SL3E-002';</v>
      </c>
    </row>
    <row r="4" spans="1:16" x14ac:dyDescent="0.25">
      <c r="A4" t="s">
        <v>375</v>
      </c>
      <c r="B4" t="s">
        <v>508</v>
      </c>
      <c r="C4" t="s">
        <v>138</v>
      </c>
      <c r="D4" t="s">
        <v>157</v>
      </c>
      <c r="E4" t="s">
        <v>204</v>
      </c>
      <c r="F4" s="1" t="s">
        <v>205</v>
      </c>
      <c r="G4" s="1" t="s">
        <v>206</v>
      </c>
      <c r="H4" s="1" t="s">
        <v>359</v>
      </c>
      <c r="I4" t="str">
        <f t="shared" si="0"/>
        <v>('SL3E-003','SL3E','C','BAEK YOONHO'),</v>
      </c>
      <c r="J4" t="s">
        <v>556</v>
      </c>
      <c r="K4" s="2" t="s">
        <v>559</v>
      </c>
      <c r="L4" s="3" t="str">
        <f t="shared" si="1"/>
        <v>SET003_003</v>
      </c>
      <c r="M4" t="s">
        <v>705</v>
      </c>
      <c r="N4" t="s">
        <v>706</v>
      </c>
      <c r="O4" t="s">
        <v>707</v>
      </c>
      <c r="P4" t="str">
        <f t="shared" si="2"/>
        <v>UPDATE CardPool SET cards_Display_Order = 'SET003_003' WHERE CardCode = 'SL3E-003';</v>
      </c>
    </row>
    <row r="5" spans="1:16" x14ac:dyDescent="0.25">
      <c r="A5" t="s">
        <v>376</v>
      </c>
      <c r="B5" t="s">
        <v>508</v>
      </c>
      <c r="C5" t="s">
        <v>138</v>
      </c>
      <c r="D5" t="s">
        <v>158</v>
      </c>
      <c r="E5" t="s">
        <v>204</v>
      </c>
      <c r="F5" s="1" t="s">
        <v>205</v>
      </c>
      <c r="G5" s="1" t="s">
        <v>206</v>
      </c>
      <c r="H5" s="1" t="s">
        <v>359</v>
      </c>
      <c r="I5" t="str">
        <f t="shared" si="0"/>
        <v>('SL3E-004','SL3E','C','CHOI JONG-IN'),</v>
      </c>
      <c r="J5" t="s">
        <v>556</v>
      </c>
      <c r="K5" s="2" t="s">
        <v>560</v>
      </c>
      <c r="L5" s="3" t="str">
        <f t="shared" si="1"/>
        <v>SET003_004</v>
      </c>
      <c r="M5" t="s">
        <v>705</v>
      </c>
      <c r="N5" t="s">
        <v>706</v>
      </c>
      <c r="O5" t="s">
        <v>707</v>
      </c>
      <c r="P5" t="str">
        <f t="shared" si="2"/>
        <v>UPDATE CardPool SET cards_Display_Order = 'SET003_004' WHERE CardCode = 'SL3E-004';</v>
      </c>
    </row>
    <row r="6" spans="1:16" x14ac:dyDescent="0.25">
      <c r="A6" t="s">
        <v>377</v>
      </c>
      <c r="B6" t="s">
        <v>508</v>
      </c>
      <c r="C6" t="s">
        <v>138</v>
      </c>
      <c r="D6" t="s">
        <v>159</v>
      </c>
      <c r="E6" t="s">
        <v>204</v>
      </c>
      <c r="F6" s="1" t="s">
        <v>205</v>
      </c>
      <c r="G6" s="1" t="s">
        <v>206</v>
      </c>
      <c r="H6" s="1" t="s">
        <v>359</v>
      </c>
      <c r="I6" t="str">
        <f t="shared" si="0"/>
        <v>('SL3E-005','SL3E','C','CHA HAE-IN'),</v>
      </c>
      <c r="J6" t="s">
        <v>556</v>
      </c>
      <c r="K6" s="2" t="s">
        <v>561</v>
      </c>
      <c r="L6" s="3" t="str">
        <f t="shared" si="1"/>
        <v>SET003_005</v>
      </c>
      <c r="M6" t="s">
        <v>705</v>
      </c>
      <c r="N6" t="s">
        <v>706</v>
      </c>
      <c r="O6" t="s">
        <v>707</v>
      </c>
      <c r="P6" t="str">
        <f t="shared" si="2"/>
        <v>UPDATE CardPool SET cards_Display_Order = 'SET003_005' WHERE CardCode = 'SL3E-005';</v>
      </c>
    </row>
    <row r="7" spans="1:16" x14ac:dyDescent="0.25">
      <c r="A7" t="s">
        <v>378</v>
      </c>
      <c r="B7" t="s">
        <v>508</v>
      </c>
      <c r="C7" t="s">
        <v>138</v>
      </c>
      <c r="D7" t="s">
        <v>161</v>
      </c>
      <c r="E7" t="s">
        <v>204</v>
      </c>
      <c r="F7" s="1" t="s">
        <v>205</v>
      </c>
      <c r="G7" s="1" t="s">
        <v>206</v>
      </c>
      <c r="H7" s="1" t="s">
        <v>359</v>
      </c>
      <c r="I7" t="str">
        <f t="shared" si="0"/>
        <v>('SL3E-006','SL3E','C','GO GUNHEE'),</v>
      </c>
      <c r="J7" t="s">
        <v>556</v>
      </c>
      <c r="K7" s="2" t="s">
        <v>562</v>
      </c>
      <c r="L7" s="3" t="str">
        <f t="shared" si="1"/>
        <v>SET003_006</v>
      </c>
      <c r="M7" t="s">
        <v>705</v>
      </c>
      <c r="N7" t="s">
        <v>706</v>
      </c>
      <c r="O7" t="s">
        <v>707</v>
      </c>
      <c r="P7" t="str">
        <f t="shared" si="2"/>
        <v>UPDATE CardPool SET cards_Display_Order = 'SET003_006' WHERE CardCode = 'SL3E-006';</v>
      </c>
    </row>
    <row r="8" spans="1:16" x14ac:dyDescent="0.25">
      <c r="A8" t="s">
        <v>379</v>
      </c>
      <c r="B8" t="s">
        <v>508</v>
      </c>
      <c r="C8" t="s">
        <v>138</v>
      </c>
      <c r="D8" t="s">
        <v>160</v>
      </c>
      <c r="E8" t="s">
        <v>204</v>
      </c>
      <c r="F8" s="1" t="s">
        <v>205</v>
      </c>
      <c r="G8" s="1" t="s">
        <v>206</v>
      </c>
      <c r="H8" s="1" t="s">
        <v>359</v>
      </c>
      <c r="I8" t="str">
        <f t="shared" si="0"/>
        <v>('SL3E-007','SL3E','C','WOO JINCHUL'),</v>
      </c>
      <c r="J8" t="s">
        <v>556</v>
      </c>
      <c r="K8" s="2" t="s">
        <v>563</v>
      </c>
      <c r="L8" s="3" t="str">
        <f t="shared" si="1"/>
        <v>SET003_007</v>
      </c>
      <c r="M8" t="s">
        <v>705</v>
      </c>
      <c r="N8" t="s">
        <v>706</v>
      </c>
      <c r="O8" t="s">
        <v>707</v>
      </c>
      <c r="P8" t="str">
        <f t="shared" si="2"/>
        <v>UPDATE CardPool SET cards_Display_Order = 'SET003_007' WHERE CardCode = 'SL3E-007';</v>
      </c>
    </row>
    <row r="9" spans="1:16" x14ac:dyDescent="0.25">
      <c r="A9" t="s">
        <v>380</v>
      </c>
      <c r="B9" t="s">
        <v>508</v>
      </c>
      <c r="C9" t="s">
        <v>138</v>
      </c>
      <c r="D9" t="s">
        <v>162</v>
      </c>
      <c r="E9" t="s">
        <v>204</v>
      </c>
      <c r="F9" s="1" t="s">
        <v>205</v>
      </c>
      <c r="G9" s="1" t="s">
        <v>206</v>
      </c>
      <c r="H9" s="1" t="s">
        <v>359</v>
      </c>
      <c r="I9" t="str">
        <f t="shared" si="0"/>
        <v>('SL3E-008','SL3E','C','SUNG JINAH'),</v>
      </c>
      <c r="J9" t="s">
        <v>556</v>
      </c>
      <c r="K9" s="2" t="s">
        <v>564</v>
      </c>
      <c r="L9" s="3" t="str">
        <f t="shared" si="1"/>
        <v>SET003_008</v>
      </c>
      <c r="M9" t="s">
        <v>705</v>
      </c>
      <c r="N9" t="s">
        <v>706</v>
      </c>
      <c r="O9" t="s">
        <v>707</v>
      </c>
      <c r="P9" t="str">
        <f t="shared" si="2"/>
        <v>UPDATE CardPool SET cards_Display_Order = 'SET003_008' WHERE CardCode = 'SL3E-008';</v>
      </c>
    </row>
    <row r="10" spans="1:16" x14ac:dyDescent="0.25">
      <c r="A10" t="s">
        <v>381</v>
      </c>
      <c r="B10" t="s">
        <v>508</v>
      </c>
      <c r="C10" t="s">
        <v>138</v>
      </c>
      <c r="D10" t="s">
        <v>179</v>
      </c>
      <c r="E10" t="s">
        <v>204</v>
      </c>
      <c r="F10" s="1" t="s">
        <v>205</v>
      </c>
      <c r="G10" s="1" t="s">
        <v>206</v>
      </c>
      <c r="H10" s="1" t="s">
        <v>359</v>
      </c>
      <c r="I10" t="str">
        <f t="shared" si="0"/>
        <v>('SL3E-009','SL3E','C','PARK KYUNG-HYE'),</v>
      </c>
      <c r="J10" t="s">
        <v>556</v>
      </c>
      <c r="K10" s="2" t="s">
        <v>565</v>
      </c>
      <c r="L10" s="3" t="str">
        <f t="shared" si="1"/>
        <v>SET003_009</v>
      </c>
      <c r="M10" t="s">
        <v>705</v>
      </c>
      <c r="N10" t="s">
        <v>706</v>
      </c>
      <c r="O10" t="s">
        <v>707</v>
      </c>
      <c r="P10" t="str">
        <f t="shared" si="2"/>
        <v>UPDATE CardPool SET cards_Display_Order = 'SET003_009' WHERE CardCode = 'SL3E-009';</v>
      </c>
    </row>
    <row r="11" spans="1:16" x14ac:dyDescent="0.25">
      <c r="A11" t="s">
        <v>382</v>
      </c>
      <c r="B11" t="s">
        <v>508</v>
      </c>
      <c r="C11" t="s">
        <v>138</v>
      </c>
      <c r="D11" t="s">
        <v>163</v>
      </c>
      <c r="E11" t="s">
        <v>204</v>
      </c>
      <c r="F11" s="1" t="s">
        <v>205</v>
      </c>
      <c r="G11" s="1" t="s">
        <v>206</v>
      </c>
      <c r="H11" s="1" t="s">
        <v>359</v>
      </c>
      <c r="I11" t="str">
        <f t="shared" si="0"/>
        <v>('SL3E-010','SL3E','C','SUNG IL-HWAN'),</v>
      </c>
      <c r="J11" t="s">
        <v>556</v>
      </c>
      <c r="K11" s="2" t="s">
        <v>566</v>
      </c>
      <c r="L11" s="3" t="str">
        <f t="shared" si="1"/>
        <v>SET003_010</v>
      </c>
      <c r="M11" t="s">
        <v>705</v>
      </c>
      <c r="N11" t="s">
        <v>706</v>
      </c>
      <c r="O11" t="s">
        <v>707</v>
      </c>
      <c r="P11" t="str">
        <f t="shared" si="2"/>
        <v>UPDATE CardPool SET cards_Display_Order = 'SET003_010' WHERE CardCode = 'SL3E-010';</v>
      </c>
    </row>
    <row r="12" spans="1:16" x14ac:dyDescent="0.25">
      <c r="A12" t="s">
        <v>383</v>
      </c>
      <c r="B12" t="s">
        <v>508</v>
      </c>
      <c r="C12" t="s">
        <v>138</v>
      </c>
      <c r="D12" t="s">
        <v>509</v>
      </c>
      <c r="E12" t="s">
        <v>204</v>
      </c>
      <c r="F12" s="1" t="s">
        <v>205</v>
      </c>
      <c r="G12" s="1" t="s">
        <v>206</v>
      </c>
      <c r="H12" s="1" t="s">
        <v>359</v>
      </c>
      <c r="I12" t="str">
        <f t="shared" si="0"/>
        <v>('SL3E-011','SL3E','C','MA DONGWOOK'),</v>
      </c>
      <c r="J12" t="s">
        <v>556</v>
      </c>
      <c r="K12" s="2" t="s">
        <v>567</v>
      </c>
      <c r="L12" s="3" t="str">
        <f t="shared" si="1"/>
        <v>SET003_011</v>
      </c>
      <c r="M12" t="s">
        <v>705</v>
      </c>
      <c r="N12" t="s">
        <v>706</v>
      </c>
      <c r="O12" t="s">
        <v>707</v>
      </c>
      <c r="P12" t="str">
        <f t="shared" si="2"/>
        <v>UPDATE CardPool SET cards_Display_Order = 'SET003_011' WHERE CardCode = 'SL3E-011';</v>
      </c>
    </row>
    <row r="13" spans="1:16" x14ac:dyDescent="0.25">
      <c r="A13" t="s">
        <v>384</v>
      </c>
      <c r="B13" t="s">
        <v>508</v>
      </c>
      <c r="C13" t="s">
        <v>138</v>
      </c>
      <c r="D13" t="s">
        <v>338</v>
      </c>
      <c r="E13" t="s">
        <v>204</v>
      </c>
      <c r="F13" s="1" t="s">
        <v>205</v>
      </c>
      <c r="G13" s="1" t="s">
        <v>206</v>
      </c>
      <c r="H13" s="1" t="s">
        <v>359</v>
      </c>
      <c r="I13" t="str">
        <f t="shared" si="0"/>
        <v>('SL3E-012','SL3E','C','MIN BYUNG-GU'),</v>
      </c>
      <c r="J13" t="s">
        <v>556</v>
      </c>
      <c r="K13" s="2" t="s">
        <v>568</v>
      </c>
      <c r="L13" s="3" t="str">
        <f t="shared" si="1"/>
        <v>SET003_012</v>
      </c>
      <c r="M13" t="s">
        <v>705</v>
      </c>
      <c r="N13" t="s">
        <v>706</v>
      </c>
      <c r="O13" t="s">
        <v>707</v>
      </c>
      <c r="P13" t="str">
        <f t="shared" si="2"/>
        <v>UPDATE CardPool SET cards_Display_Order = 'SET003_012' WHERE CardCode = 'SL3E-012';</v>
      </c>
    </row>
    <row r="14" spans="1:16" x14ac:dyDescent="0.25">
      <c r="A14" t="s">
        <v>385</v>
      </c>
      <c r="B14" t="s">
        <v>508</v>
      </c>
      <c r="C14" t="s">
        <v>138</v>
      </c>
      <c r="D14" t="s">
        <v>510</v>
      </c>
      <c r="E14" t="s">
        <v>204</v>
      </c>
      <c r="F14" s="1" t="s">
        <v>205</v>
      </c>
      <c r="G14" s="1" t="s">
        <v>206</v>
      </c>
      <c r="H14" s="1" t="s">
        <v>359</v>
      </c>
      <c r="I14" t="str">
        <f t="shared" si="0"/>
        <v>('SL3E-013','SL3E','C','LIM TAE-GYU'),</v>
      </c>
      <c r="J14" t="s">
        <v>556</v>
      </c>
      <c r="K14" s="2" t="s">
        <v>569</v>
      </c>
      <c r="L14" s="3" t="str">
        <f t="shared" si="1"/>
        <v>SET003_013</v>
      </c>
      <c r="M14" t="s">
        <v>705</v>
      </c>
      <c r="N14" t="s">
        <v>706</v>
      </c>
      <c r="O14" t="s">
        <v>707</v>
      </c>
      <c r="P14" t="str">
        <f t="shared" si="2"/>
        <v>UPDATE CardPool SET cards_Display_Order = 'SET003_013' WHERE CardCode = 'SL3E-013';</v>
      </c>
    </row>
    <row r="15" spans="1:16" x14ac:dyDescent="0.25">
      <c r="A15" t="s">
        <v>386</v>
      </c>
      <c r="B15" t="s">
        <v>508</v>
      </c>
      <c r="C15" t="s">
        <v>138</v>
      </c>
      <c r="D15" t="s">
        <v>511</v>
      </c>
      <c r="E15" t="s">
        <v>204</v>
      </c>
      <c r="F15" s="1" t="s">
        <v>205</v>
      </c>
      <c r="G15" s="1" t="s">
        <v>206</v>
      </c>
      <c r="H15" s="1" t="s">
        <v>359</v>
      </c>
      <c r="I15" t="str">
        <f t="shared" si="0"/>
        <v>('SL3E-014','SL3E','C','LEE MINSUNG'),</v>
      </c>
      <c r="J15" t="s">
        <v>556</v>
      </c>
      <c r="K15" s="2" t="s">
        <v>570</v>
      </c>
      <c r="L15" s="3" t="str">
        <f t="shared" si="1"/>
        <v>SET003_014</v>
      </c>
      <c r="M15" t="s">
        <v>705</v>
      </c>
      <c r="N15" t="s">
        <v>706</v>
      </c>
      <c r="O15" t="s">
        <v>707</v>
      </c>
      <c r="P15" t="str">
        <f t="shared" si="2"/>
        <v>UPDATE CardPool SET cards_Display_Order = 'SET003_014' WHERE CardCode = 'SL3E-014';</v>
      </c>
    </row>
    <row r="16" spans="1:16" x14ac:dyDescent="0.25">
      <c r="A16" t="s">
        <v>387</v>
      </c>
      <c r="B16" t="s">
        <v>508</v>
      </c>
      <c r="C16" t="s">
        <v>138</v>
      </c>
      <c r="D16" t="s">
        <v>164</v>
      </c>
      <c r="E16" t="s">
        <v>204</v>
      </c>
      <c r="F16" s="1" t="s">
        <v>205</v>
      </c>
      <c r="G16" s="1" t="s">
        <v>206</v>
      </c>
      <c r="H16" s="1" t="s">
        <v>359</v>
      </c>
      <c r="I16" t="str">
        <f t="shared" si="0"/>
        <v>('SL3E-015','SL3E','C','HAN SONG-YI'),</v>
      </c>
      <c r="J16" t="s">
        <v>556</v>
      </c>
      <c r="K16" s="2" t="s">
        <v>571</v>
      </c>
      <c r="L16" s="3" t="str">
        <f t="shared" si="1"/>
        <v>SET003_015</v>
      </c>
      <c r="M16" t="s">
        <v>705</v>
      </c>
      <c r="N16" t="s">
        <v>706</v>
      </c>
      <c r="O16" t="s">
        <v>707</v>
      </c>
      <c r="P16" t="str">
        <f t="shared" si="2"/>
        <v>UPDATE CardPool SET cards_Display_Order = 'SET003_015' WHERE CardCode = 'SL3E-015';</v>
      </c>
    </row>
    <row r="17" spans="1:16" x14ac:dyDescent="0.25">
      <c r="A17" t="s">
        <v>388</v>
      </c>
      <c r="B17" t="s">
        <v>508</v>
      </c>
      <c r="C17" t="s">
        <v>138</v>
      </c>
      <c r="D17" t="s">
        <v>330</v>
      </c>
      <c r="E17" t="s">
        <v>204</v>
      </c>
      <c r="F17" s="1" t="s">
        <v>205</v>
      </c>
      <c r="G17" s="1" t="s">
        <v>206</v>
      </c>
      <c r="H17" s="1" t="s">
        <v>359</v>
      </c>
      <c r="I17" t="str">
        <f t="shared" si="0"/>
        <v>('SL3E-016','SL3E','C','LEE JOOHEE'),</v>
      </c>
      <c r="J17" t="s">
        <v>556</v>
      </c>
      <c r="K17" s="2" t="s">
        <v>572</v>
      </c>
      <c r="L17" s="3" t="str">
        <f t="shared" si="1"/>
        <v>SET003_016</v>
      </c>
      <c r="M17" t="s">
        <v>705</v>
      </c>
      <c r="N17" t="s">
        <v>706</v>
      </c>
      <c r="O17" t="s">
        <v>707</v>
      </c>
      <c r="P17" t="str">
        <f t="shared" si="2"/>
        <v>UPDATE CardPool SET cards_Display_Order = 'SET003_016' WHERE CardCode = 'SL3E-016';</v>
      </c>
    </row>
    <row r="18" spans="1:16" x14ac:dyDescent="0.25">
      <c r="A18" t="s">
        <v>389</v>
      </c>
      <c r="B18" t="s">
        <v>508</v>
      </c>
      <c r="C18" t="s">
        <v>138</v>
      </c>
      <c r="D18" t="s">
        <v>512</v>
      </c>
      <c r="E18" t="s">
        <v>204</v>
      </c>
      <c r="F18" s="1" t="s">
        <v>205</v>
      </c>
      <c r="G18" s="1" t="s">
        <v>206</v>
      </c>
      <c r="H18" s="1" t="s">
        <v>359</v>
      </c>
      <c r="I18" t="str">
        <f t="shared" si="0"/>
        <v>('SL3E-017','SL3E','C','HUNTERS GUILD'),</v>
      </c>
      <c r="J18" t="s">
        <v>556</v>
      </c>
      <c r="K18" s="2" t="s">
        <v>573</v>
      </c>
      <c r="L18" s="3" t="str">
        <f t="shared" si="1"/>
        <v>SET003_017</v>
      </c>
      <c r="M18" t="s">
        <v>705</v>
      </c>
      <c r="N18" t="s">
        <v>706</v>
      </c>
      <c r="O18" t="s">
        <v>707</v>
      </c>
      <c r="P18" t="str">
        <f t="shared" si="2"/>
        <v>UPDATE CardPool SET cards_Display_Order = 'SET003_017' WHERE CardCode = 'SL3E-017';</v>
      </c>
    </row>
    <row r="19" spans="1:16" x14ac:dyDescent="0.25">
      <c r="A19" t="s">
        <v>390</v>
      </c>
      <c r="B19" t="s">
        <v>508</v>
      </c>
      <c r="C19" t="s">
        <v>138</v>
      </c>
      <c r="D19" t="s">
        <v>534</v>
      </c>
      <c r="E19" t="s">
        <v>204</v>
      </c>
      <c r="F19" s="1" t="s">
        <v>205</v>
      </c>
      <c r="G19" s="1" t="s">
        <v>206</v>
      </c>
      <c r="H19" s="1" t="s">
        <v>359</v>
      </c>
      <c r="I19" t="str">
        <f t="shared" si="0"/>
        <v>('SL3E-018','SL3E','C','GOTO RYUJI'),</v>
      </c>
      <c r="J19" t="s">
        <v>556</v>
      </c>
      <c r="K19" s="2" t="s">
        <v>574</v>
      </c>
      <c r="L19" s="3" t="str">
        <f t="shared" si="1"/>
        <v>SET003_018</v>
      </c>
      <c r="M19" t="s">
        <v>705</v>
      </c>
      <c r="N19" t="s">
        <v>706</v>
      </c>
      <c r="O19" t="s">
        <v>707</v>
      </c>
      <c r="P19" t="str">
        <f t="shared" si="2"/>
        <v>UPDATE CardPool SET cards_Display_Order = 'SET003_018' WHERE CardCode = 'SL3E-018';</v>
      </c>
    </row>
    <row r="20" spans="1:16" x14ac:dyDescent="0.25">
      <c r="A20" t="s">
        <v>391</v>
      </c>
      <c r="B20" t="s">
        <v>508</v>
      </c>
      <c r="C20" t="s">
        <v>138</v>
      </c>
      <c r="D20" t="s">
        <v>513</v>
      </c>
      <c r="E20" t="s">
        <v>204</v>
      </c>
      <c r="F20" s="1" t="s">
        <v>205</v>
      </c>
      <c r="G20" s="1" t="s">
        <v>206</v>
      </c>
      <c r="H20" s="1" t="s">
        <v>359</v>
      </c>
      <c r="I20" t="str">
        <f t="shared" si="0"/>
        <v>('SL3E-019','SL3E','C','MATSUMOTO SHIGEO'),</v>
      </c>
      <c r="J20" t="s">
        <v>556</v>
      </c>
      <c r="K20" s="2" t="s">
        <v>575</v>
      </c>
      <c r="L20" s="3" t="str">
        <f t="shared" si="1"/>
        <v>SET003_019</v>
      </c>
      <c r="M20" t="s">
        <v>705</v>
      </c>
      <c r="N20" t="s">
        <v>706</v>
      </c>
      <c r="O20" t="s">
        <v>707</v>
      </c>
      <c r="P20" t="str">
        <f t="shared" si="2"/>
        <v>UPDATE CardPool SET cards_Display_Order = 'SET003_019' WHERE CardCode = 'SL3E-019';</v>
      </c>
    </row>
    <row r="21" spans="1:16" x14ac:dyDescent="0.25">
      <c r="A21" t="s">
        <v>392</v>
      </c>
      <c r="B21" t="s">
        <v>508</v>
      </c>
      <c r="C21" t="s">
        <v>138</v>
      </c>
      <c r="D21" t="s">
        <v>514</v>
      </c>
      <c r="E21" t="s">
        <v>204</v>
      </c>
      <c r="F21" s="1" t="s">
        <v>205</v>
      </c>
      <c r="G21" s="1" t="s">
        <v>206</v>
      </c>
      <c r="H21" s="1" t="s">
        <v>359</v>
      </c>
      <c r="I21" t="str">
        <f t="shared" si="0"/>
        <v>('SL3E-020','SL3E','C','HANEKAWA'),</v>
      </c>
      <c r="J21" t="s">
        <v>556</v>
      </c>
      <c r="K21" s="2" t="s">
        <v>576</v>
      </c>
      <c r="L21" s="3" t="str">
        <f t="shared" si="1"/>
        <v>SET003_020</v>
      </c>
      <c r="M21" t="s">
        <v>705</v>
      </c>
      <c r="N21" t="s">
        <v>706</v>
      </c>
      <c r="O21" t="s">
        <v>707</v>
      </c>
      <c r="P21" t="str">
        <f t="shared" si="2"/>
        <v>UPDATE CardPool SET cards_Display_Order = 'SET003_020' WHERE CardCode = 'SL3E-020';</v>
      </c>
    </row>
    <row r="22" spans="1:16" x14ac:dyDescent="0.25">
      <c r="A22" t="s">
        <v>393</v>
      </c>
      <c r="B22" t="s">
        <v>508</v>
      </c>
      <c r="C22" t="s">
        <v>138</v>
      </c>
      <c r="D22" t="s">
        <v>515</v>
      </c>
      <c r="E22" t="s">
        <v>204</v>
      </c>
      <c r="F22" s="1" t="s">
        <v>205</v>
      </c>
      <c r="G22" s="1" t="s">
        <v>206</v>
      </c>
      <c r="H22" s="1" t="s">
        <v>359</v>
      </c>
      <c r="I22" t="str">
        <f t="shared" si="0"/>
        <v>('SL3E-021','SL3E','C','SUGIMOTO REIJI'),</v>
      </c>
      <c r="J22" t="s">
        <v>556</v>
      </c>
      <c r="K22" s="2" t="s">
        <v>577</v>
      </c>
      <c r="L22" s="3" t="str">
        <f t="shared" si="1"/>
        <v>SET003_021</v>
      </c>
      <c r="M22" t="s">
        <v>705</v>
      </c>
      <c r="N22" t="s">
        <v>706</v>
      </c>
      <c r="O22" t="s">
        <v>707</v>
      </c>
      <c r="P22" t="str">
        <f t="shared" si="2"/>
        <v>UPDATE CardPool SET cards_Display_Order = 'SET003_021' WHERE CardCode = 'SL3E-021';</v>
      </c>
    </row>
    <row r="23" spans="1:16" x14ac:dyDescent="0.25">
      <c r="A23" t="s">
        <v>394</v>
      </c>
      <c r="B23" t="s">
        <v>508</v>
      </c>
      <c r="C23" t="s">
        <v>138</v>
      </c>
      <c r="D23" t="s">
        <v>516</v>
      </c>
      <c r="E23" t="s">
        <v>204</v>
      </c>
      <c r="F23" s="1" t="s">
        <v>205</v>
      </c>
      <c r="G23" s="1" t="s">
        <v>206</v>
      </c>
      <c r="H23" s="1" t="s">
        <v>359</v>
      </c>
      <c r="I23" t="str">
        <f t="shared" si="0"/>
        <v>('SL3E-022','SL3E','C','SHIMIZU AKARI'),</v>
      </c>
      <c r="J23" t="s">
        <v>556</v>
      </c>
      <c r="K23" s="2" t="s">
        <v>578</v>
      </c>
      <c r="L23" s="3" t="str">
        <f t="shared" si="1"/>
        <v>SET003_022</v>
      </c>
      <c r="M23" t="s">
        <v>705</v>
      </c>
      <c r="N23" t="s">
        <v>706</v>
      </c>
      <c r="O23" t="s">
        <v>707</v>
      </c>
      <c r="P23" t="str">
        <f t="shared" si="2"/>
        <v>UPDATE CardPool SET cards_Display_Order = 'SET003_022' WHERE CardCode = 'SL3E-022';</v>
      </c>
    </row>
    <row r="24" spans="1:16" x14ac:dyDescent="0.25">
      <c r="A24" t="s">
        <v>395</v>
      </c>
      <c r="B24" t="s">
        <v>508</v>
      </c>
      <c r="C24" t="s">
        <v>138</v>
      </c>
      <c r="D24" t="s">
        <v>517</v>
      </c>
      <c r="E24" t="s">
        <v>204</v>
      </c>
      <c r="F24" s="1" t="s">
        <v>205</v>
      </c>
      <c r="G24" s="1" t="s">
        <v>206</v>
      </c>
      <c r="H24" s="1" t="s">
        <v>359</v>
      </c>
      <c r="I24" t="str">
        <f t="shared" si="0"/>
        <v>('SL3E-023','SL3E','C','ISHIDA MARI'),</v>
      </c>
      <c r="J24" t="s">
        <v>556</v>
      </c>
      <c r="K24" s="2" t="s">
        <v>579</v>
      </c>
      <c r="L24" s="3" t="str">
        <f t="shared" si="1"/>
        <v>SET003_023</v>
      </c>
      <c r="M24" t="s">
        <v>705</v>
      </c>
      <c r="N24" t="s">
        <v>706</v>
      </c>
      <c r="O24" t="s">
        <v>707</v>
      </c>
      <c r="P24" t="str">
        <f t="shared" si="2"/>
        <v>UPDATE CardPool SET cards_Display_Order = 'SET003_023' WHERE CardCode = 'SL3E-023';</v>
      </c>
    </row>
    <row r="25" spans="1:16" x14ac:dyDescent="0.25">
      <c r="A25" t="s">
        <v>396</v>
      </c>
      <c r="B25" t="s">
        <v>508</v>
      </c>
      <c r="C25" t="s">
        <v>138</v>
      </c>
      <c r="D25" t="s">
        <v>518</v>
      </c>
      <c r="E25" t="s">
        <v>204</v>
      </c>
      <c r="F25" s="1" t="s">
        <v>205</v>
      </c>
      <c r="G25" s="1" t="s">
        <v>206</v>
      </c>
      <c r="H25" s="1" t="s">
        <v>359</v>
      </c>
      <c r="I25" t="str">
        <f t="shared" si="0"/>
        <v>('SL3E-024','SL3E','C','FUJISHIMA TATSUMI'),</v>
      </c>
      <c r="J25" t="s">
        <v>556</v>
      </c>
      <c r="K25" s="2" t="s">
        <v>580</v>
      </c>
      <c r="L25" s="3" t="str">
        <f t="shared" si="1"/>
        <v>SET003_024</v>
      </c>
      <c r="M25" t="s">
        <v>705</v>
      </c>
      <c r="N25" t="s">
        <v>706</v>
      </c>
      <c r="O25" t="s">
        <v>707</v>
      </c>
      <c r="P25" t="str">
        <f t="shared" si="2"/>
        <v>UPDATE CardPool SET cards_Display_Order = 'SET003_024' WHERE CardCode = 'SL3E-024';</v>
      </c>
    </row>
    <row r="26" spans="1:16" x14ac:dyDescent="0.25">
      <c r="A26" t="s">
        <v>397</v>
      </c>
      <c r="B26" t="s">
        <v>508</v>
      </c>
      <c r="C26" t="s">
        <v>138</v>
      </c>
      <c r="D26" t="s">
        <v>519</v>
      </c>
      <c r="E26" t="s">
        <v>204</v>
      </c>
      <c r="F26" s="1" t="s">
        <v>205</v>
      </c>
      <c r="G26" s="1" t="s">
        <v>206</v>
      </c>
      <c r="H26" s="1" t="s">
        <v>359</v>
      </c>
      <c r="I26" t="str">
        <f t="shared" si="0"/>
        <v>('SL3E-025','SL3E','C','TANAKA KENZO'),</v>
      </c>
      <c r="J26" t="s">
        <v>556</v>
      </c>
      <c r="K26" s="2" t="s">
        <v>581</v>
      </c>
      <c r="L26" s="3" t="str">
        <f t="shared" si="1"/>
        <v>SET003_025</v>
      </c>
      <c r="M26" t="s">
        <v>705</v>
      </c>
      <c r="N26" t="s">
        <v>706</v>
      </c>
      <c r="O26" t="s">
        <v>707</v>
      </c>
      <c r="P26" t="str">
        <f t="shared" si="2"/>
        <v>UPDATE CardPool SET cards_Display_Order = 'SET003_025' WHERE CardCode = 'SL3E-025';</v>
      </c>
    </row>
    <row r="27" spans="1:16" x14ac:dyDescent="0.25">
      <c r="A27" t="s">
        <v>398</v>
      </c>
      <c r="B27" t="s">
        <v>508</v>
      </c>
      <c r="C27" t="s">
        <v>138</v>
      </c>
      <c r="D27" t="s">
        <v>520</v>
      </c>
      <c r="E27" t="s">
        <v>204</v>
      </c>
      <c r="F27" s="1" t="s">
        <v>205</v>
      </c>
      <c r="G27" s="1" t="s">
        <v>206</v>
      </c>
      <c r="H27" s="1" t="s">
        <v>359</v>
      </c>
      <c r="I27" t="str">
        <f t="shared" si="0"/>
        <v>('SL3E-026','SL3E','C','YTAWATA KANAE'),</v>
      </c>
      <c r="J27" t="s">
        <v>556</v>
      </c>
      <c r="K27" s="2" t="s">
        <v>582</v>
      </c>
      <c r="L27" s="3" t="str">
        <f t="shared" si="1"/>
        <v>SET003_026</v>
      </c>
      <c r="M27" t="s">
        <v>705</v>
      </c>
      <c r="N27" t="s">
        <v>706</v>
      </c>
      <c r="O27" t="s">
        <v>707</v>
      </c>
      <c r="P27" t="str">
        <f t="shared" si="2"/>
        <v>UPDATE CardPool SET cards_Display_Order = 'SET003_026' WHERE CardCode = 'SL3E-026';</v>
      </c>
    </row>
    <row r="28" spans="1:16" x14ac:dyDescent="0.25">
      <c r="A28" t="s">
        <v>399</v>
      </c>
      <c r="B28" t="s">
        <v>508</v>
      </c>
      <c r="C28" t="s">
        <v>138</v>
      </c>
      <c r="D28" t="s">
        <v>521</v>
      </c>
      <c r="E28" t="s">
        <v>204</v>
      </c>
      <c r="F28" s="1" t="s">
        <v>205</v>
      </c>
      <c r="G28" s="1" t="s">
        <v>206</v>
      </c>
      <c r="H28" s="1" t="s">
        <v>359</v>
      </c>
      <c r="I28" t="str">
        <f t="shared" si="0"/>
        <v>('SL3E-027','SL3E','C','KEI'),</v>
      </c>
      <c r="J28" t="s">
        <v>556</v>
      </c>
      <c r="K28" s="2" t="s">
        <v>583</v>
      </c>
      <c r="L28" s="3" t="str">
        <f t="shared" si="1"/>
        <v>SET003_027</v>
      </c>
      <c r="M28" t="s">
        <v>705</v>
      </c>
      <c r="N28" t="s">
        <v>706</v>
      </c>
      <c r="O28" t="s">
        <v>707</v>
      </c>
      <c r="P28" t="str">
        <f t="shared" si="2"/>
        <v>UPDATE CardPool SET cards_Display_Order = 'SET003_027' WHERE CardCode = 'SL3E-027';</v>
      </c>
    </row>
    <row r="29" spans="1:16" x14ac:dyDescent="0.25">
      <c r="A29" t="s">
        <v>400</v>
      </c>
      <c r="B29" t="s">
        <v>508</v>
      </c>
      <c r="C29" t="s">
        <v>138</v>
      </c>
      <c r="D29" t="s">
        <v>522</v>
      </c>
      <c r="E29" t="s">
        <v>204</v>
      </c>
      <c r="F29" s="1" t="s">
        <v>205</v>
      </c>
      <c r="G29" s="1" t="s">
        <v>206</v>
      </c>
      <c r="H29" s="1" t="s">
        <v>359</v>
      </c>
      <c r="I29" t="str">
        <f t="shared" si="0"/>
        <v>('SL3E-028','SL3E','C','KUMAMOTO ATSUSHI'),</v>
      </c>
      <c r="J29" t="s">
        <v>556</v>
      </c>
      <c r="K29" s="2" t="s">
        <v>584</v>
      </c>
      <c r="L29" s="3" t="str">
        <f t="shared" si="1"/>
        <v>SET003_028</v>
      </c>
      <c r="M29" t="s">
        <v>705</v>
      </c>
      <c r="N29" t="s">
        <v>706</v>
      </c>
      <c r="O29" t="s">
        <v>707</v>
      </c>
      <c r="P29" t="str">
        <f t="shared" si="2"/>
        <v>UPDATE CardPool SET cards_Display_Order = 'SET003_028' WHERE CardCode = 'SL3E-028';</v>
      </c>
    </row>
    <row r="30" spans="1:16" x14ac:dyDescent="0.25">
      <c r="A30" t="s">
        <v>401</v>
      </c>
      <c r="B30" t="s">
        <v>508</v>
      </c>
      <c r="C30" t="s">
        <v>138</v>
      </c>
      <c r="D30" t="s">
        <v>523</v>
      </c>
      <c r="E30" t="s">
        <v>204</v>
      </c>
      <c r="F30" s="1" t="s">
        <v>205</v>
      </c>
      <c r="G30" s="1" t="s">
        <v>206</v>
      </c>
      <c r="H30" s="1" t="s">
        <v>359</v>
      </c>
      <c r="I30" t="str">
        <f t="shared" si="0"/>
        <v>('SL3E-029','SL3E','C','IZAWA IPPEI'),</v>
      </c>
      <c r="J30" t="s">
        <v>556</v>
      </c>
      <c r="K30" s="2" t="s">
        <v>585</v>
      </c>
      <c r="L30" s="3" t="str">
        <f t="shared" si="1"/>
        <v>SET003_029</v>
      </c>
      <c r="M30" t="s">
        <v>705</v>
      </c>
      <c r="N30" t="s">
        <v>706</v>
      </c>
      <c r="O30" t="s">
        <v>707</v>
      </c>
      <c r="P30" t="str">
        <f t="shared" si="2"/>
        <v>UPDATE CardPool SET cards_Display_Order = 'SET003_029' WHERE CardCode = 'SL3E-029';</v>
      </c>
    </row>
    <row r="31" spans="1:16" x14ac:dyDescent="0.25">
      <c r="A31" t="s">
        <v>402</v>
      </c>
      <c r="B31" t="s">
        <v>508</v>
      </c>
      <c r="C31" t="s">
        <v>138</v>
      </c>
      <c r="D31" t="s">
        <v>524</v>
      </c>
      <c r="E31" t="s">
        <v>204</v>
      </c>
      <c r="F31" s="1" t="s">
        <v>205</v>
      </c>
      <c r="G31" s="1" t="s">
        <v>206</v>
      </c>
      <c r="H31" s="1" t="s">
        <v>359</v>
      </c>
      <c r="I31" t="str">
        <f t="shared" si="0"/>
        <v>('SL3E-030','SL3E','C','HOSHINO MINORU'),</v>
      </c>
      <c r="J31" t="s">
        <v>556</v>
      </c>
      <c r="K31" s="2" t="s">
        <v>586</v>
      </c>
      <c r="L31" s="3" t="str">
        <f t="shared" si="1"/>
        <v>SET003_030</v>
      </c>
      <c r="M31" t="s">
        <v>705</v>
      </c>
      <c r="N31" t="s">
        <v>706</v>
      </c>
      <c r="O31" t="s">
        <v>707</v>
      </c>
      <c r="P31" t="str">
        <f t="shared" si="2"/>
        <v>UPDATE CardPool SET cards_Display_Order = 'SET003_030' WHERE CardCode = 'SL3E-030';</v>
      </c>
    </row>
    <row r="32" spans="1:16" x14ac:dyDescent="0.25">
      <c r="A32" t="s">
        <v>403</v>
      </c>
      <c r="B32" t="s">
        <v>508</v>
      </c>
      <c r="C32" t="s">
        <v>138</v>
      </c>
      <c r="D32" t="s">
        <v>525</v>
      </c>
      <c r="E32" t="s">
        <v>204</v>
      </c>
      <c r="F32" s="1" t="s">
        <v>205</v>
      </c>
      <c r="G32" s="1" t="s">
        <v>206</v>
      </c>
      <c r="H32" s="1" t="s">
        <v>359</v>
      </c>
      <c r="I32" t="str">
        <f t="shared" si="0"/>
        <v>('SL3E-031','SL3E','C','SHADOW ARMY'),</v>
      </c>
      <c r="J32" t="s">
        <v>556</v>
      </c>
      <c r="K32" s="2" t="s">
        <v>587</v>
      </c>
      <c r="L32" s="3" t="str">
        <f t="shared" si="1"/>
        <v>SET003_031</v>
      </c>
      <c r="M32" t="s">
        <v>705</v>
      </c>
      <c r="N32" t="s">
        <v>706</v>
      </c>
      <c r="O32" t="s">
        <v>707</v>
      </c>
      <c r="P32" t="str">
        <f t="shared" si="2"/>
        <v>UPDATE CardPool SET cards_Display_Order = 'SET003_031' WHERE CardCode = 'SL3E-031';</v>
      </c>
    </row>
    <row r="33" spans="1:16" x14ac:dyDescent="0.25">
      <c r="A33" t="s">
        <v>404</v>
      </c>
      <c r="B33" t="s">
        <v>508</v>
      </c>
      <c r="C33" t="s">
        <v>138</v>
      </c>
      <c r="D33" t="s">
        <v>185</v>
      </c>
      <c r="E33" t="s">
        <v>204</v>
      </c>
      <c r="F33" s="1" t="s">
        <v>205</v>
      </c>
      <c r="G33" s="1" t="s">
        <v>206</v>
      </c>
      <c r="H33" s="1" t="s">
        <v>359</v>
      </c>
      <c r="I33" t="str">
        <f t="shared" si="0"/>
        <v>('SL3E-032','SL3E','C','IGRIS'),</v>
      </c>
      <c r="J33" t="s">
        <v>556</v>
      </c>
      <c r="K33" s="2" t="s">
        <v>588</v>
      </c>
      <c r="L33" s="3" t="str">
        <f t="shared" si="1"/>
        <v>SET003_032</v>
      </c>
      <c r="M33" t="s">
        <v>705</v>
      </c>
      <c r="N33" t="s">
        <v>706</v>
      </c>
      <c r="O33" t="s">
        <v>707</v>
      </c>
      <c r="P33" t="str">
        <f t="shared" si="2"/>
        <v>UPDATE CardPool SET cards_Display_Order = 'SET003_032' WHERE CardCode = 'SL3E-032';</v>
      </c>
    </row>
    <row r="34" spans="1:16" x14ac:dyDescent="0.25">
      <c r="A34" t="s">
        <v>405</v>
      </c>
      <c r="B34" t="s">
        <v>508</v>
      </c>
      <c r="C34" t="s">
        <v>138</v>
      </c>
      <c r="D34" t="s">
        <v>195</v>
      </c>
      <c r="E34" t="s">
        <v>204</v>
      </c>
      <c r="F34" s="1" t="s">
        <v>205</v>
      </c>
      <c r="G34" s="1" t="s">
        <v>206</v>
      </c>
      <c r="H34" s="1" t="s">
        <v>359</v>
      </c>
      <c r="I34" t="str">
        <f t="shared" si="0"/>
        <v>('SL3E-033','SL3E','C','TANK'),</v>
      </c>
      <c r="J34" t="s">
        <v>556</v>
      </c>
      <c r="K34" s="2" t="s">
        <v>589</v>
      </c>
      <c r="L34" s="3" t="str">
        <f t="shared" si="1"/>
        <v>SET003_033</v>
      </c>
      <c r="M34" t="s">
        <v>705</v>
      </c>
      <c r="N34" t="s">
        <v>706</v>
      </c>
      <c r="O34" t="s">
        <v>707</v>
      </c>
      <c r="P34" t="str">
        <f t="shared" si="2"/>
        <v>UPDATE CardPool SET cards_Display_Order = 'SET003_033' WHERE CardCode = 'SL3E-033';</v>
      </c>
    </row>
    <row r="35" spans="1:16" x14ac:dyDescent="0.25">
      <c r="A35" t="s">
        <v>406</v>
      </c>
      <c r="B35" t="s">
        <v>508</v>
      </c>
      <c r="C35" t="s">
        <v>138</v>
      </c>
      <c r="D35" t="s">
        <v>196</v>
      </c>
      <c r="E35" t="s">
        <v>204</v>
      </c>
      <c r="F35" s="1" t="s">
        <v>205</v>
      </c>
      <c r="G35" s="1" t="s">
        <v>206</v>
      </c>
      <c r="H35" s="1" t="s">
        <v>359</v>
      </c>
      <c r="I35" t="str">
        <f t="shared" si="0"/>
        <v>('SL3E-034','SL3E','C','IRON'),</v>
      </c>
      <c r="J35" t="s">
        <v>556</v>
      </c>
      <c r="K35" s="2" t="s">
        <v>590</v>
      </c>
      <c r="L35" s="3" t="str">
        <f t="shared" si="1"/>
        <v>SET003_034</v>
      </c>
      <c r="M35" t="s">
        <v>705</v>
      </c>
      <c r="N35" t="s">
        <v>706</v>
      </c>
      <c r="O35" t="s">
        <v>707</v>
      </c>
      <c r="P35" t="str">
        <f t="shared" si="2"/>
        <v>UPDATE CardPool SET cards_Display_Order = 'SET003_034' WHERE CardCode = 'SL3E-034';</v>
      </c>
    </row>
    <row r="36" spans="1:16" x14ac:dyDescent="0.25">
      <c r="A36" t="s">
        <v>407</v>
      </c>
      <c r="B36" t="s">
        <v>508</v>
      </c>
      <c r="C36" t="s">
        <v>138</v>
      </c>
      <c r="D36" t="s">
        <v>193</v>
      </c>
      <c r="E36" t="s">
        <v>204</v>
      </c>
      <c r="F36" s="1" t="s">
        <v>205</v>
      </c>
      <c r="G36" s="1" t="s">
        <v>206</v>
      </c>
      <c r="H36" s="1" t="s">
        <v>359</v>
      </c>
      <c r="I36" t="str">
        <f t="shared" si="0"/>
        <v>('SL3E-035','SL3E','C','HIGH ORC'),</v>
      </c>
      <c r="J36" t="s">
        <v>556</v>
      </c>
      <c r="K36" s="2" t="s">
        <v>591</v>
      </c>
      <c r="L36" s="3" t="str">
        <f t="shared" si="1"/>
        <v>SET003_035</v>
      </c>
      <c r="M36" t="s">
        <v>705</v>
      </c>
      <c r="N36" t="s">
        <v>706</v>
      </c>
      <c r="O36" t="s">
        <v>707</v>
      </c>
      <c r="P36" t="str">
        <f t="shared" si="2"/>
        <v>UPDATE CardPool SET cards_Display_Order = 'SET003_035' WHERE CardCode = 'SL3E-035';</v>
      </c>
    </row>
    <row r="37" spans="1:16" x14ac:dyDescent="0.25">
      <c r="A37" t="s">
        <v>408</v>
      </c>
      <c r="B37" t="s">
        <v>508</v>
      </c>
      <c r="C37" t="s">
        <v>138</v>
      </c>
      <c r="D37" t="s">
        <v>197</v>
      </c>
      <c r="E37" t="s">
        <v>204</v>
      </c>
      <c r="F37" s="1" t="s">
        <v>205</v>
      </c>
      <c r="G37" s="1" t="s">
        <v>206</v>
      </c>
      <c r="H37" s="1" t="s">
        <v>359</v>
      </c>
      <c r="I37" t="str">
        <f t="shared" si="0"/>
        <v>('SL3E-036','SL3E','C','TUSK'),</v>
      </c>
      <c r="J37" t="s">
        <v>556</v>
      </c>
      <c r="K37" s="2" t="s">
        <v>592</v>
      </c>
      <c r="L37" s="3" t="str">
        <f t="shared" si="1"/>
        <v>SET003_036</v>
      </c>
      <c r="M37" t="s">
        <v>705</v>
      </c>
      <c r="N37" t="s">
        <v>706</v>
      </c>
      <c r="O37" t="s">
        <v>707</v>
      </c>
      <c r="P37" t="str">
        <f t="shared" si="2"/>
        <v>UPDATE CardPool SET cards_Display_Order = 'SET003_036' WHERE CardCode = 'SL3E-036';</v>
      </c>
    </row>
    <row r="38" spans="1:16" x14ac:dyDescent="0.25">
      <c r="A38" t="s">
        <v>409</v>
      </c>
      <c r="B38" t="s">
        <v>508</v>
      </c>
      <c r="C38" t="s">
        <v>138</v>
      </c>
      <c r="D38" t="s">
        <v>526</v>
      </c>
      <c r="E38" t="s">
        <v>204</v>
      </c>
      <c r="F38" s="1" t="s">
        <v>205</v>
      </c>
      <c r="G38" s="1" t="s">
        <v>206</v>
      </c>
      <c r="H38" s="1" t="s">
        <v>359</v>
      </c>
      <c r="I38" t="str">
        <f t="shared" si="0"/>
        <v>('SL3E-037','SL3E','C','KAISEL'),</v>
      </c>
      <c r="J38" t="s">
        <v>556</v>
      </c>
      <c r="K38" s="2" t="s">
        <v>593</v>
      </c>
      <c r="L38" s="3" t="str">
        <f t="shared" si="1"/>
        <v>SET003_037</v>
      </c>
      <c r="M38" t="s">
        <v>705</v>
      </c>
      <c r="N38" t="s">
        <v>706</v>
      </c>
      <c r="O38" t="s">
        <v>707</v>
      </c>
      <c r="P38" t="str">
        <f t="shared" si="2"/>
        <v>UPDATE CardPool SET cards_Display_Order = 'SET003_037' WHERE CardCode = 'SL3E-037';</v>
      </c>
    </row>
    <row r="39" spans="1:16" x14ac:dyDescent="0.25">
      <c r="A39" t="s">
        <v>410</v>
      </c>
      <c r="B39" t="s">
        <v>508</v>
      </c>
      <c r="C39" t="s">
        <v>138</v>
      </c>
      <c r="D39" t="s">
        <v>527</v>
      </c>
      <c r="E39" t="s">
        <v>204</v>
      </c>
      <c r="F39" s="1" t="s">
        <v>205</v>
      </c>
      <c r="G39" s="1" t="s">
        <v>206</v>
      </c>
      <c r="H39" s="1" t="s">
        <v>359</v>
      </c>
      <c r="I39" t="str">
        <f t="shared" si="0"/>
        <v>('SL3E-038','SL3E','C','BERU'),</v>
      </c>
      <c r="J39" t="s">
        <v>556</v>
      </c>
      <c r="K39" s="2" t="s">
        <v>594</v>
      </c>
      <c r="L39" s="3" t="str">
        <f t="shared" si="1"/>
        <v>SET003_038</v>
      </c>
      <c r="M39" t="s">
        <v>705</v>
      </c>
      <c r="N39" t="s">
        <v>706</v>
      </c>
      <c r="O39" t="s">
        <v>707</v>
      </c>
      <c r="P39" t="str">
        <f t="shared" si="2"/>
        <v>UPDATE CardPool SET cards_Display_Order = 'SET003_038' WHERE CardCode = 'SL3E-038';</v>
      </c>
    </row>
    <row r="40" spans="1:16" x14ac:dyDescent="0.25">
      <c r="A40" t="s">
        <v>411</v>
      </c>
      <c r="B40" t="s">
        <v>508</v>
      </c>
      <c r="C40" t="s">
        <v>138</v>
      </c>
      <c r="D40" t="s">
        <v>189</v>
      </c>
      <c r="E40" t="s">
        <v>204</v>
      </c>
      <c r="F40" s="1" t="s">
        <v>205</v>
      </c>
      <c r="G40" s="1" t="s">
        <v>206</v>
      </c>
      <c r="H40" s="1" t="s">
        <v>359</v>
      </c>
      <c r="I40" t="str">
        <f t="shared" si="0"/>
        <v>('SL3E-039','SL3E','C','DEMON'),</v>
      </c>
      <c r="J40" t="s">
        <v>556</v>
      </c>
      <c r="K40" s="2" t="s">
        <v>595</v>
      </c>
      <c r="L40" s="3" t="str">
        <f t="shared" si="1"/>
        <v>SET003_039</v>
      </c>
      <c r="M40" t="s">
        <v>705</v>
      </c>
      <c r="N40" t="s">
        <v>706</v>
      </c>
      <c r="O40" t="s">
        <v>707</v>
      </c>
      <c r="P40" t="str">
        <f t="shared" si="2"/>
        <v>UPDATE CardPool SET cards_Display_Order = 'SET003_039' WHERE CardCode = 'SL3E-039';</v>
      </c>
    </row>
    <row r="41" spans="1:16" x14ac:dyDescent="0.25">
      <c r="A41" t="s">
        <v>412</v>
      </c>
      <c r="B41" t="s">
        <v>508</v>
      </c>
      <c r="C41" t="s">
        <v>138</v>
      </c>
      <c r="D41" t="s">
        <v>528</v>
      </c>
      <c r="E41" t="s">
        <v>204</v>
      </c>
      <c r="F41" s="1" t="s">
        <v>205</v>
      </c>
      <c r="G41" s="1" t="s">
        <v>206</v>
      </c>
      <c r="H41" s="1" t="s">
        <v>359</v>
      </c>
      <c r="I41" t="str">
        <f t="shared" si="0"/>
        <v>('SL3E-040','SL3E','C','ESIL RADIRU'),</v>
      </c>
      <c r="J41" t="s">
        <v>556</v>
      </c>
      <c r="K41" s="2" t="s">
        <v>596</v>
      </c>
      <c r="L41" s="3" t="str">
        <f t="shared" si="1"/>
        <v>SET003_040</v>
      </c>
      <c r="M41" t="s">
        <v>705</v>
      </c>
      <c r="N41" t="s">
        <v>706</v>
      </c>
      <c r="O41" t="s">
        <v>707</v>
      </c>
      <c r="P41" t="str">
        <f t="shared" si="2"/>
        <v>UPDATE CardPool SET cards_Display_Order = 'SET003_040' WHERE CardCode = 'SL3E-040';</v>
      </c>
    </row>
    <row r="42" spans="1:16" x14ac:dyDescent="0.25">
      <c r="A42" t="s">
        <v>413</v>
      </c>
      <c r="B42" t="s">
        <v>508</v>
      </c>
      <c r="C42" t="s">
        <v>138</v>
      </c>
      <c r="D42" t="s">
        <v>529</v>
      </c>
      <c r="E42" t="s">
        <v>204</v>
      </c>
      <c r="F42" s="1" t="s">
        <v>205</v>
      </c>
      <c r="G42" s="1" t="s">
        <v>206</v>
      </c>
      <c r="H42" s="1" t="s">
        <v>359</v>
      </c>
      <c r="I42" t="str">
        <f t="shared" si="0"/>
        <v>('SL3E-041','SL3E','C','BORGON RADIRU'),</v>
      </c>
      <c r="J42" t="s">
        <v>556</v>
      </c>
      <c r="K42" s="2" t="s">
        <v>597</v>
      </c>
      <c r="L42" s="3" t="str">
        <f t="shared" si="1"/>
        <v>SET003_041</v>
      </c>
      <c r="M42" t="s">
        <v>705</v>
      </c>
      <c r="N42" t="s">
        <v>706</v>
      </c>
      <c r="O42" t="s">
        <v>707</v>
      </c>
      <c r="P42" t="str">
        <f t="shared" si="2"/>
        <v>UPDATE CardPool SET cards_Display_Order = 'SET003_041' WHERE CardCode = 'SL3E-041';</v>
      </c>
    </row>
    <row r="43" spans="1:16" x14ac:dyDescent="0.25">
      <c r="A43" t="s">
        <v>414</v>
      </c>
      <c r="B43" t="s">
        <v>508</v>
      </c>
      <c r="C43" t="s">
        <v>138</v>
      </c>
      <c r="D43" t="s">
        <v>530</v>
      </c>
      <c r="E43" t="s">
        <v>204</v>
      </c>
      <c r="F43" s="1" t="s">
        <v>205</v>
      </c>
      <c r="G43" s="1" t="s">
        <v>206</v>
      </c>
      <c r="H43" s="1" t="s">
        <v>359</v>
      </c>
      <c r="I43" t="str">
        <f t="shared" si="0"/>
        <v>('SL3E-042','SL3E','C','WYVERN KAISELLIN'),</v>
      </c>
      <c r="J43" t="s">
        <v>556</v>
      </c>
      <c r="K43" s="2" t="s">
        <v>598</v>
      </c>
      <c r="L43" s="3" t="str">
        <f t="shared" si="1"/>
        <v>SET003_042</v>
      </c>
      <c r="M43" t="s">
        <v>705</v>
      </c>
      <c r="N43" t="s">
        <v>706</v>
      </c>
      <c r="O43" t="s">
        <v>707</v>
      </c>
      <c r="P43" t="str">
        <f t="shared" si="2"/>
        <v>UPDATE CardPool SET cards_Display_Order = 'SET003_042' WHERE CardCode = 'SL3E-042';</v>
      </c>
    </row>
    <row r="44" spans="1:16" x14ac:dyDescent="0.25">
      <c r="A44" t="s">
        <v>415</v>
      </c>
      <c r="B44" t="s">
        <v>508</v>
      </c>
      <c r="C44" t="s">
        <v>138</v>
      </c>
      <c r="D44" t="s">
        <v>531</v>
      </c>
      <c r="E44" t="s">
        <v>204</v>
      </c>
      <c r="F44" s="1" t="s">
        <v>205</v>
      </c>
      <c r="G44" s="1" t="s">
        <v>206</v>
      </c>
      <c r="H44" s="1" t="s">
        <v>359</v>
      </c>
      <c r="I44" t="str">
        <f t="shared" si="0"/>
        <v>('SL3E-043','SL3E','C','BARAN, THE DEMON KING'),</v>
      </c>
      <c r="J44" t="s">
        <v>556</v>
      </c>
      <c r="K44" s="2" t="s">
        <v>599</v>
      </c>
      <c r="L44" s="3" t="str">
        <f t="shared" si="1"/>
        <v>SET003_043</v>
      </c>
      <c r="M44" t="s">
        <v>705</v>
      </c>
      <c r="N44" t="s">
        <v>706</v>
      </c>
      <c r="O44" t="s">
        <v>707</v>
      </c>
      <c r="P44" t="str">
        <f t="shared" si="2"/>
        <v>UPDATE CardPool SET cards_Display_Order = 'SET003_043' WHERE CardCode = 'SL3E-043';</v>
      </c>
    </row>
    <row r="45" spans="1:16" x14ac:dyDescent="0.25">
      <c r="A45" t="s">
        <v>416</v>
      </c>
      <c r="B45" t="s">
        <v>508</v>
      </c>
      <c r="C45" t="s">
        <v>138</v>
      </c>
      <c r="D45" t="s">
        <v>532</v>
      </c>
      <c r="E45" t="s">
        <v>204</v>
      </c>
      <c r="F45" s="1" t="s">
        <v>205</v>
      </c>
      <c r="G45" s="1" t="s">
        <v>206</v>
      </c>
      <c r="H45" s="1" t="s">
        <v>359</v>
      </c>
      <c r="I45" t="str">
        <f t="shared" si="0"/>
        <v>('SL3E-044','SL3E','C','ANT'),</v>
      </c>
      <c r="J45" t="s">
        <v>556</v>
      </c>
      <c r="K45" s="2" t="s">
        <v>600</v>
      </c>
      <c r="L45" s="3" t="str">
        <f t="shared" si="1"/>
        <v>SET003_044</v>
      </c>
      <c r="M45" t="s">
        <v>705</v>
      </c>
      <c r="N45" t="s">
        <v>706</v>
      </c>
      <c r="O45" t="s">
        <v>707</v>
      </c>
      <c r="P45" t="str">
        <f t="shared" si="2"/>
        <v>UPDATE CardPool SET cards_Display_Order = 'SET003_044' WHERE CardCode = 'SL3E-044';</v>
      </c>
    </row>
    <row r="46" spans="1:16" x14ac:dyDescent="0.25">
      <c r="A46" t="s">
        <v>417</v>
      </c>
      <c r="B46" t="s">
        <v>508</v>
      </c>
      <c r="C46" t="s">
        <v>138</v>
      </c>
      <c r="D46" t="s">
        <v>533</v>
      </c>
      <c r="E46" t="s">
        <v>204</v>
      </c>
      <c r="F46" s="1" t="s">
        <v>205</v>
      </c>
      <c r="G46" s="1" t="s">
        <v>206</v>
      </c>
      <c r="H46" s="1" t="s">
        <v>359</v>
      </c>
      <c r="I46" t="str">
        <f t="shared" si="0"/>
        <v>('SL3E-045','SL3E','C','ANT KING'),</v>
      </c>
      <c r="J46" t="s">
        <v>556</v>
      </c>
      <c r="K46" s="2" t="s">
        <v>601</v>
      </c>
      <c r="L46" s="3" t="str">
        <f t="shared" si="1"/>
        <v>SET003_045</v>
      </c>
      <c r="M46" t="s">
        <v>705</v>
      </c>
      <c r="N46" t="s">
        <v>706</v>
      </c>
      <c r="O46" t="s">
        <v>707</v>
      </c>
      <c r="P46" t="str">
        <f t="shared" si="2"/>
        <v>UPDATE CardPool SET cards_Display_Order = 'SET003_045' WHERE CardCode = 'SL3E-045';</v>
      </c>
    </row>
    <row r="47" spans="1:16" x14ac:dyDescent="0.25">
      <c r="A47" t="s">
        <v>418</v>
      </c>
      <c r="B47" t="s">
        <v>508</v>
      </c>
      <c r="C47" t="s">
        <v>139</v>
      </c>
      <c r="D47" t="s">
        <v>155</v>
      </c>
      <c r="E47" t="s">
        <v>204</v>
      </c>
      <c r="F47" s="1" t="s">
        <v>205</v>
      </c>
      <c r="G47" s="1" t="s">
        <v>206</v>
      </c>
      <c r="H47" s="1" t="s">
        <v>359</v>
      </c>
      <c r="I47" t="str">
        <f t="shared" si="0"/>
        <v>('SL3E-046','SL3E','R','SUNG JINWOO'),</v>
      </c>
      <c r="J47" t="s">
        <v>556</v>
      </c>
      <c r="K47" s="2" t="s">
        <v>602</v>
      </c>
      <c r="L47" s="3" t="str">
        <f t="shared" si="1"/>
        <v>SET003_046</v>
      </c>
      <c r="M47" t="s">
        <v>705</v>
      </c>
      <c r="N47" t="s">
        <v>706</v>
      </c>
      <c r="O47" t="s">
        <v>707</v>
      </c>
      <c r="P47" t="str">
        <f t="shared" si="2"/>
        <v>UPDATE CardPool SET cards_Display_Order = 'SET003_046' WHERE CardCode = 'SL3E-046';</v>
      </c>
    </row>
    <row r="48" spans="1:16" x14ac:dyDescent="0.25">
      <c r="A48" t="s">
        <v>419</v>
      </c>
      <c r="B48" t="s">
        <v>508</v>
      </c>
      <c r="C48" t="s">
        <v>139</v>
      </c>
      <c r="D48" t="s">
        <v>156</v>
      </c>
      <c r="E48" t="s">
        <v>204</v>
      </c>
      <c r="F48" s="1" t="s">
        <v>205</v>
      </c>
      <c r="G48" s="1" t="s">
        <v>206</v>
      </c>
      <c r="H48" s="1" t="s">
        <v>359</v>
      </c>
      <c r="I48" t="str">
        <f t="shared" si="0"/>
        <v>('SL3E-047','SL3E','R','YOO JINHO'),</v>
      </c>
      <c r="J48" t="s">
        <v>556</v>
      </c>
      <c r="K48" s="2" t="s">
        <v>603</v>
      </c>
      <c r="L48" s="3" t="str">
        <f t="shared" si="1"/>
        <v>SET003_047</v>
      </c>
      <c r="M48" t="s">
        <v>705</v>
      </c>
      <c r="N48" t="s">
        <v>706</v>
      </c>
      <c r="O48" t="s">
        <v>707</v>
      </c>
      <c r="P48" t="str">
        <f t="shared" si="2"/>
        <v>UPDATE CardPool SET cards_Display_Order = 'SET003_047' WHERE CardCode = 'SL3E-047';</v>
      </c>
    </row>
    <row r="49" spans="1:16" x14ac:dyDescent="0.25">
      <c r="A49" t="s">
        <v>420</v>
      </c>
      <c r="B49" t="s">
        <v>508</v>
      </c>
      <c r="C49" t="s">
        <v>139</v>
      </c>
      <c r="D49" t="s">
        <v>157</v>
      </c>
      <c r="E49" t="s">
        <v>204</v>
      </c>
      <c r="F49" s="1" t="s">
        <v>205</v>
      </c>
      <c r="G49" s="1" t="s">
        <v>206</v>
      </c>
      <c r="H49" s="1" t="s">
        <v>359</v>
      </c>
      <c r="I49" t="str">
        <f t="shared" si="0"/>
        <v>('SL3E-048','SL3E','R','BAEK YOONHO'),</v>
      </c>
      <c r="J49" t="s">
        <v>556</v>
      </c>
      <c r="K49" s="2" t="s">
        <v>604</v>
      </c>
      <c r="L49" s="3" t="str">
        <f t="shared" si="1"/>
        <v>SET003_048</v>
      </c>
      <c r="M49" t="s">
        <v>705</v>
      </c>
      <c r="N49" t="s">
        <v>706</v>
      </c>
      <c r="O49" t="s">
        <v>707</v>
      </c>
      <c r="P49" t="str">
        <f t="shared" si="2"/>
        <v>UPDATE CardPool SET cards_Display_Order = 'SET003_048' WHERE CardCode = 'SL3E-048';</v>
      </c>
    </row>
    <row r="50" spans="1:16" x14ac:dyDescent="0.25">
      <c r="A50" t="s">
        <v>421</v>
      </c>
      <c r="B50" t="s">
        <v>508</v>
      </c>
      <c r="C50" t="s">
        <v>139</v>
      </c>
      <c r="D50" t="s">
        <v>158</v>
      </c>
      <c r="E50" t="s">
        <v>204</v>
      </c>
      <c r="F50" s="1" t="s">
        <v>205</v>
      </c>
      <c r="G50" s="1" t="s">
        <v>206</v>
      </c>
      <c r="H50" s="1" t="s">
        <v>359</v>
      </c>
      <c r="I50" t="str">
        <f t="shared" si="0"/>
        <v>('SL3E-049','SL3E','R','CHOI JONG-IN'),</v>
      </c>
      <c r="J50" t="s">
        <v>556</v>
      </c>
      <c r="K50" s="2" t="s">
        <v>605</v>
      </c>
      <c r="L50" s="3" t="str">
        <f t="shared" si="1"/>
        <v>SET003_049</v>
      </c>
      <c r="M50" t="s">
        <v>705</v>
      </c>
      <c r="N50" t="s">
        <v>706</v>
      </c>
      <c r="O50" t="s">
        <v>707</v>
      </c>
      <c r="P50" t="str">
        <f t="shared" si="2"/>
        <v>UPDATE CardPool SET cards_Display_Order = 'SET003_049' WHERE CardCode = 'SL3E-049';</v>
      </c>
    </row>
    <row r="51" spans="1:16" x14ac:dyDescent="0.25">
      <c r="A51" t="s">
        <v>422</v>
      </c>
      <c r="B51" t="s">
        <v>508</v>
      </c>
      <c r="C51" t="s">
        <v>139</v>
      </c>
      <c r="D51" t="s">
        <v>159</v>
      </c>
      <c r="E51" t="s">
        <v>204</v>
      </c>
      <c r="F51" s="1" t="s">
        <v>205</v>
      </c>
      <c r="G51" s="1" t="s">
        <v>206</v>
      </c>
      <c r="H51" s="1" t="s">
        <v>359</v>
      </c>
      <c r="I51" t="str">
        <f t="shared" si="0"/>
        <v>('SL3E-050','SL3E','R','CHA HAE-IN'),</v>
      </c>
      <c r="J51" t="s">
        <v>556</v>
      </c>
      <c r="K51" s="2" t="s">
        <v>606</v>
      </c>
      <c r="L51" s="3" t="str">
        <f t="shared" si="1"/>
        <v>SET003_050</v>
      </c>
      <c r="M51" t="s">
        <v>705</v>
      </c>
      <c r="N51" t="s">
        <v>706</v>
      </c>
      <c r="O51" t="s">
        <v>707</v>
      </c>
      <c r="P51" t="str">
        <f t="shared" si="2"/>
        <v>UPDATE CardPool SET cards_Display_Order = 'SET003_050' WHERE CardCode = 'SL3E-050';</v>
      </c>
    </row>
    <row r="52" spans="1:16" x14ac:dyDescent="0.25">
      <c r="A52" t="s">
        <v>423</v>
      </c>
      <c r="B52" t="s">
        <v>508</v>
      </c>
      <c r="C52" t="s">
        <v>139</v>
      </c>
      <c r="D52" t="s">
        <v>161</v>
      </c>
      <c r="E52" t="s">
        <v>204</v>
      </c>
      <c r="F52" s="1" t="s">
        <v>205</v>
      </c>
      <c r="G52" s="1" t="s">
        <v>206</v>
      </c>
      <c r="H52" s="1" t="s">
        <v>359</v>
      </c>
      <c r="I52" t="str">
        <f t="shared" si="0"/>
        <v>('SL3E-051','SL3E','R','GO GUNHEE'),</v>
      </c>
      <c r="J52" t="s">
        <v>556</v>
      </c>
      <c r="K52" s="2" t="s">
        <v>607</v>
      </c>
      <c r="L52" s="3" t="str">
        <f t="shared" si="1"/>
        <v>SET003_051</v>
      </c>
      <c r="M52" t="s">
        <v>705</v>
      </c>
      <c r="N52" t="s">
        <v>706</v>
      </c>
      <c r="O52" t="s">
        <v>707</v>
      </c>
      <c r="P52" t="str">
        <f t="shared" si="2"/>
        <v>UPDATE CardPool SET cards_Display_Order = 'SET003_051' WHERE CardCode = 'SL3E-051';</v>
      </c>
    </row>
    <row r="53" spans="1:16" x14ac:dyDescent="0.25">
      <c r="A53" t="s">
        <v>424</v>
      </c>
      <c r="B53" t="s">
        <v>508</v>
      </c>
      <c r="C53" t="s">
        <v>139</v>
      </c>
      <c r="D53" t="s">
        <v>160</v>
      </c>
      <c r="E53" t="s">
        <v>204</v>
      </c>
      <c r="F53" s="1" t="s">
        <v>205</v>
      </c>
      <c r="G53" s="1" t="s">
        <v>206</v>
      </c>
      <c r="H53" s="1" t="s">
        <v>359</v>
      </c>
      <c r="I53" t="str">
        <f t="shared" si="0"/>
        <v>('SL3E-052','SL3E','R','WOO JINCHUL'),</v>
      </c>
      <c r="J53" t="s">
        <v>556</v>
      </c>
      <c r="K53" s="2" t="s">
        <v>608</v>
      </c>
      <c r="L53" s="3" t="str">
        <f t="shared" si="1"/>
        <v>SET003_052</v>
      </c>
      <c r="M53" t="s">
        <v>705</v>
      </c>
      <c r="N53" t="s">
        <v>706</v>
      </c>
      <c r="O53" t="s">
        <v>707</v>
      </c>
      <c r="P53" t="str">
        <f t="shared" si="2"/>
        <v>UPDATE CardPool SET cards_Display_Order = 'SET003_052' WHERE CardCode = 'SL3E-052';</v>
      </c>
    </row>
    <row r="54" spans="1:16" x14ac:dyDescent="0.25">
      <c r="A54" t="s">
        <v>425</v>
      </c>
      <c r="B54" t="s">
        <v>508</v>
      </c>
      <c r="C54" t="s">
        <v>139</v>
      </c>
      <c r="D54" t="s">
        <v>162</v>
      </c>
      <c r="E54" t="s">
        <v>204</v>
      </c>
      <c r="F54" s="1" t="s">
        <v>205</v>
      </c>
      <c r="G54" s="1" t="s">
        <v>206</v>
      </c>
      <c r="H54" s="1" t="s">
        <v>359</v>
      </c>
      <c r="I54" t="str">
        <f t="shared" si="0"/>
        <v>('SL3E-053','SL3E','R','SUNG JINAH'),</v>
      </c>
      <c r="J54" t="s">
        <v>556</v>
      </c>
      <c r="K54" s="2" t="s">
        <v>609</v>
      </c>
      <c r="L54" s="3" t="str">
        <f t="shared" si="1"/>
        <v>SET003_053</v>
      </c>
      <c r="M54" t="s">
        <v>705</v>
      </c>
      <c r="N54" t="s">
        <v>706</v>
      </c>
      <c r="O54" t="s">
        <v>707</v>
      </c>
      <c r="P54" t="str">
        <f t="shared" si="2"/>
        <v>UPDATE CardPool SET cards_Display_Order = 'SET003_053' WHERE CardCode = 'SL3E-053';</v>
      </c>
    </row>
    <row r="55" spans="1:16" x14ac:dyDescent="0.25">
      <c r="A55" t="s">
        <v>426</v>
      </c>
      <c r="B55" t="s">
        <v>508</v>
      </c>
      <c r="C55" t="s">
        <v>139</v>
      </c>
      <c r="D55" t="s">
        <v>179</v>
      </c>
      <c r="E55" t="s">
        <v>204</v>
      </c>
      <c r="F55" s="1" t="s">
        <v>205</v>
      </c>
      <c r="G55" s="1" t="s">
        <v>206</v>
      </c>
      <c r="H55" s="1" t="s">
        <v>359</v>
      </c>
      <c r="I55" t="str">
        <f t="shared" si="0"/>
        <v>('SL3E-054','SL3E','R','PARK KYUNG-HYE'),</v>
      </c>
      <c r="J55" t="s">
        <v>556</v>
      </c>
      <c r="K55" s="2" t="s">
        <v>610</v>
      </c>
      <c r="L55" s="3" t="str">
        <f t="shared" si="1"/>
        <v>SET003_054</v>
      </c>
      <c r="M55" t="s">
        <v>705</v>
      </c>
      <c r="N55" t="s">
        <v>706</v>
      </c>
      <c r="O55" t="s">
        <v>707</v>
      </c>
      <c r="P55" t="str">
        <f t="shared" si="2"/>
        <v>UPDATE CardPool SET cards_Display_Order = 'SET003_054' WHERE CardCode = 'SL3E-054';</v>
      </c>
    </row>
    <row r="56" spans="1:16" x14ac:dyDescent="0.25">
      <c r="A56" t="s">
        <v>427</v>
      </c>
      <c r="B56" t="s">
        <v>508</v>
      </c>
      <c r="C56" t="s">
        <v>139</v>
      </c>
      <c r="D56" t="s">
        <v>534</v>
      </c>
      <c r="E56" t="s">
        <v>204</v>
      </c>
      <c r="F56" s="1" t="s">
        <v>205</v>
      </c>
      <c r="G56" s="1" t="s">
        <v>206</v>
      </c>
      <c r="H56" s="1" t="s">
        <v>359</v>
      </c>
      <c r="I56" t="str">
        <f t="shared" si="0"/>
        <v>('SL3E-055','SL3E','R','GOTO RYUJI'),</v>
      </c>
      <c r="J56" t="s">
        <v>556</v>
      </c>
      <c r="K56" s="2" t="s">
        <v>611</v>
      </c>
      <c r="L56" s="3" t="str">
        <f t="shared" si="1"/>
        <v>SET003_055</v>
      </c>
      <c r="M56" t="s">
        <v>705</v>
      </c>
      <c r="N56" t="s">
        <v>706</v>
      </c>
      <c r="O56" t="s">
        <v>707</v>
      </c>
      <c r="P56" t="str">
        <f t="shared" si="2"/>
        <v>UPDATE CardPool SET cards_Display_Order = 'SET003_055' WHERE CardCode = 'SL3E-055';</v>
      </c>
    </row>
    <row r="57" spans="1:16" x14ac:dyDescent="0.25">
      <c r="A57" t="s">
        <v>428</v>
      </c>
      <c r="B57" t="s">
        <v>508</v>
      </c>
      <c r="C57" t="s">
        <v>139</v>
      </c>
      <c r="D57" t="s">
        <v>513</v>
      </c>
      <c r="E57" t="s">
        <v>204</v>
      </c>
      <c r="F57" s="1" t="s">
        <v>205</v>
      </c>
      <c r="G57" s="1" t="s">
        <v>206</v>
      </c>
      <c r="H57" s="1" t="s">
        <v>359</v>
      </c>
      <c r="I57" t="str">
        <f t="shared" si="0"/>
        <v>('SL3E-056','SL3E','R','MATSUMOTO SHIGEO'),</v>
      </c>
      <c r="J57" t="s">
        <v>556</v>
      </c>
      <c r="K57" s="2" t="s">
        <v>612</v>
      </c>
      <c r="L57" s="3" t="str">
        <f t="shared" si="1"/>
        <v>SET003_056</v>
      </c>
      <c r="M57" t="s">
        <v>705</v>
      </c>
      <c r="N57" t="s">
        <v>706</v>
      </c>
      <c r="O57" t="s">
        <v>707</v>
      </c>
      <c r="P57" t="str">
        <f t="shared" si="2"/>
        <v>UPDATE CardPool SET cards_Display_Order = 'SET003_056' WHERE CardCode = 'SL3E-056';</v>
      </c>
    </row>
    <row r="58" spans="1:16" x14ac:dyDescent="0.25">
      <c r="A58" t="s">
        <v>429</v>
      </c>
      <c r="B58" t="s">
        <v>508</v>
      </c>
      <c r="C58" t="s">
        <v>139</v>
      </c>
      <c r="D58" t="s">
        <v>515</v>
      </c>
      <c r="E58" t="s">
        <v>204</v>
      </c>
      <c r="F58" s="1" t="s">
        <v>205</v>
      </c>
      <c r="G58" s="1" t="s">
        <v>206</v>
      </c>
      <c r="H58" s="1" t="s">
        <v>359</v>
      </c>
      <c r="I58" t="str">
        <f t="shared" si="0"/>
        <v>('SL3E-057','SL3E','R','SUGIMOTO REIJI'),</v>
      </c>
      <c r="J58" t="s">
        <v>556</v>
      </c>
      <c r="K58" s="2" t="s">
        <v>613</v>
      </c>
      <c r="L58" s="3" t="str">
        <f t="shared" si="1"/>
        <v>SET003_057</v>
      </c>
      <c r="M58" t="s">
        <v>705</v>
      </c>
      <c r="N58" t="s">
        <v>706</v>
      </c>
      <c r="O58" t="s">
        <v>707</v>
      </c>
      <c r="P58" t="str">
        <f t="shared" si="2"/>
        <v>UPDATE CardPool SET cards_Display_Order = 'SET003_057' WHERE CardCode = 'SL3E-057';</v>
      </c>
    </row>
    <row r="59" spans="1:16" x14ac:dyDescent="0.25">
      <c r="A59" t="s">
        <v>430</v>
      </c>
      <c r="B59" t="s">
        <v>508</v>
      </c>
      <c r="C59" t="s">
        <v>139</v>
      </c>
      <c r="D59" t="s">
        <v>338</v>
      </c>
      <c r="E59" t="s">
        <v>204</v>
      </c>
      <c r="F59" s="1" t="s">
        <v>205</v>
      </c>
      <c r="G59" s="1" t="s">
        <v>206</v>
      </c>
      <c r="H59" s="1" t="s">
        <v>359</v>
      </c>
      <c r="I59" t="str">
        <f t="shared" si="0"/>
        <v>('SL3E-058','SL3E','R','MIN BYUNG-GU'),</v>
      </c>
      <c r="J59" t="s">
        <v>556</v>
      </c>
      <c r="K59" s="2" t="s">
        <v>614</v>
      </c>
      <c r="L59" s="3" t="str">
        <f t="shared" si="1"/>
        <v>SET003_058</v>
      </c>
      <c r="M59" t="s">
        <v>705</v>
      </c>
      <c r="N59" t="s">
        <v>706</v>
      </c>
      <c r="O59" t="s">
        <v>707</v>
      </c>
      <c r="P59" t="str">
        <f t="shared" si="2"/>
        <v>UPDATE CardPool SET cards_Display_Order = 'SET003_058' WHERE CardCode = 'SL3E-058';</v>
      </c>
    </row>
    <row r="60" spans="1:16" x14ac:dyDescent="0.25">
      <c r="A60" t="s">
        <v>431</v>
      </c>
      <c r="B60" t="s">
        <v>508</v>
      </c>
      <c r="C60" t="s">
        <v>139</v>
      </c>
      <c r="D60" t="s">
        <v>164</v>
      </c>
      <c r="E60" t="s">
        <v>204</v>
      </c>
      <c r="F60" s="1" t="s">
        <v>205</v>
      </c>
      <c r="G60" s="1" t="s">
        <v>206</v>
      </c>
      <c r="H60" s="1" t="s">
        <v>359</v>
      </c>
      <c r="I60" t="str">
        <f t="shared" si="0"/>
        <v>('SL3E-059','SL3E','R','HAN SONG-YI'),</v>
      </c>
      <c r="J60" t="s">
        <v>556</v>
      </c>
      <c r="K60" s="2" t="s">
        <v>615</v>
      </c>
      <c r="L60" s="3" t="str">
        <f t="shared" si="1"/>
        <v>SET003_059</v>
      </c>
      <c r="M60" t="s">
        <v>705</v>
      </c>
      <c r="N60" t="s">
        <v>706</v>
      </c>
      <c r="O60" t="s">
        <v>707</v>
      </c>
      <c r="P60" t="str">
        <f t="shared" si="2"/>
        <v>UPDATE CardPool SET cards_Display_Order = 'SET003_059' WHERE CardCode = 'SL3E-059';</v>
      </c>
    </row>
    <row r="61" spans="1:16" x14ac:dyDescent="0.25">
      <c r="A61" t="s">
        <v>432</v>
      </c>
      <c r="B61" t="s">
        <v>508</v>
      </c>
      <c r="C61" t="s">
        <v>139</v>
      </c>
      <c r="D61" t="s">
        <v>511</v>
      </c>
      <c r="E61" t="s">
        <v>204</v>
      </c>
      <c r="F61" s="1" t="s">
        <v>205</v>
      </c>
      <c r="G61" s="1" t="s">
        <v>206</v>
      </c>
      <c r="H61" s="1" t="s">
        <v>359</v>
      </c>
      <c r="I61" t="str">
        <f t="shared" si="0"/>
        <v>('SL3E-060','SL3E','R','LEE MINSUNG'),</v>
      </c>
      <c r="J61" t="s">
        <v>556</v>
      </c>
      <c r="K61" s="2" t="s">
        <v>616</v>
      </c>
      <c r="L61" s="3" t="str">
        <f t="shared" si="1"/>
        <v>SET003_060</v>
      </c>
      <c r="M61" t="s">
        <v>705</v>
      </c>
      <c r="N61" t="s">
        <v>706</v>
      </c>
      <c r="O61" t="s">
        <v>707</v>
      </c>
      <c r="P61" t="str">
        <f t="shared" si="2"/>
        <v>UPDATE CardPool SET cards_Display_Order = 'SET003_060' WHERE CardCode = 'SL3E-060';</v>
      </c>
    </row>
    <row r="62" spans="1:16" x14ac:dyDescent="0.25">
      <c r="A62" t="s">
        <v>433</v>
      </c>
      <c r="B62" t="s">
        <v>508</v>
      </c>
      <c r="C62" t="s">
        <v>139</v>
      </c>
      <c r="D62" t="s">
        <v>525</v>
      </c>
      <c r="E62" t="s">
        <v>204</v>
      </c>
      <c r="F62" s="1" t="s">
        <v>205</v>
      </c>
      <c r="G62" s="1" t="s">
        <v>206</v>
      </c>
      <c r="H62" s="1" t="s">
        <v>359</v>
      </c>
      <c r="I62" t="str">
        <f t="shared" si="0"/>
        <v>('SL3E-061','SL3E','R','SHADOW ARMY'),</v>
      </c>
      <c r="J62" t="s">
        <v>556</v>
      </c>
      <c r="K62" s="2" t="s">
        <v>617</v>
      </c>
      <c r="L62" s="3" t="str">
        <f t="shared" si="1"/>
        <v>SET003_061</v>
      </c>
      <c r="M62" t="s">
        <v>705</v>
      </c>
      <c r="N62" t="s">
        <v>706</v>
      </c>
      <c r="O62" t="s">
        <v>707</v>
      </c>
      <c r="P62" t="str">
        <f t="shared" si="2"/>
        <v>UPDATE CardPool SET cards_Display_Order = 'SET003_061' WHERE CardCode = 'SL3E-061';</v>
      </c>
    </row>
    <row r="63" spans="1:16" x14ac:dyDescent="0.25">
      <c r="A63" t="s">
        <v>434</v>
      </c>
      <c r="B63" t="s">
        <v>508</v>
      </c>
      <c r="C63" t="s">
        <v>139</v>
      </c>
      <c r="D63" t="s">
        <v>185</v>
      </c>
      <c r="E63" t="s">
        <v>204</v>
      </c>
      <c r="F63" s="1" t="s">
        <v>205</v>
      </c>
      <c r="G63" s="1" t="s">
        <v>206</v>
      </c>
      <c r="H63" s="1" t="s">
        <v>359</v>
      </c>
      <c r="I63" t="str">
        <f t="shared" si="0"/>
        <v>('SL3E-062','SL3E','R','IGRIS'),</v>
      </c>
      <c r="J63" t="s">
        <v>556</v>
      </c>
      <c r="K63" s="2" t="s">
        <v>618</v>
      </c>
      <c r="L63" s="3" t="str">
        <f t="shared" si="1"/>
        <v>SET003_062</v>
      </c>
      <c r="M63" t="s">
        <v>705</v>
      </c>
      <c r="N63" t="s">
        <v>706</v>
      </c>
      <c r="O63" t="s">
        <v>707</v>
      </c>
      <c r="P63" t="str">
        <f t="shared" si="2"/>
        <v>UPDATE CardPool SET cards_Display_Order = 'SET003_062' WHERE CardCode = 'SL3E-062';</v>
      </c>
    </row>
    <row r="64" spans="1:16" x14ac:dyDescent="0.25">
      <c r="A64" t="s">
        <v>435</v>
      </c>
      <c r="B64" t="s">
        <v>508</v>
      </c>
      <c r="C64" t="s">
        <v>139</v>
      </c>
      <c r="D64" t="s">
        <v>195</v>
      </c>
      <c r="E64" t="s">
        <v>204</v>
      </c>
      <c r="F64" s="1" t="s">
        <v>205</v>
      </c>
      <c r="G64" s="1" t="s">
        <v>206</v>
      </c>
      <c r="H64" s="1" t="s">
        <v>359</v>
      </c>
      <c r="I64" t="str">
        <f t="shared" si="0"/>
        <v>('SL3E-063','SL3E','R','TANK'),</v>
      </c>
      <c r="J64" t="s">
        <v>556</v>
      </c>
      <c r="K64" s="2" t="s">
        <v>619</v>
      </c>
      <c r="L64" s="3" t="str">
        <f t="shared" si="1"/>
        <v>SET003_063</v>
      </c>
      <c r="M64" t="s">
        <v>705</v>
      </c>
      <c r="N64" t="s">
        <v>706</v>
      </c>
      <c r="O64" t="s">
        <v>707</v>
      </c>
      <c r="P64" t="str">
        <f t="shared" si="2"/>
        <v>UPDATE CardPool SET cards_Display_Order = 'SET003_063' WHERE CardCode = 'SL3E-063';</v>
      </c>
    </row>
    <row r="65" spans="1:16" x14ac:dyDescent="0.25">
      <c r="A65" t="s">
        <v>436</v>
      </c>
      <c r="B65" t="s">
        <v>508</v>
      </c>
      <c r="C65" t="s">
        <v>139</v>
      </c>
      <c r="D65" t="s">
        <v>196</v>
      </c>
      <c r="E65" t="s">
        <v>204</v>
      </c>
      <c r="F65" s="1" t="s">
        <v>205</v>
      </c>
      <c r="G65" s="1" t="s">
        <v>206</v>
      </c>
      <c r="H65" s="1" t="s">
        <v>359</v>
      </c>
      <c r="I65" t="str">
        <f t="shared" si="0"/>
        <v>('SL3E-064','SL3E','R','IRON'),</v>
      </c>
      <c r="J65" t="s">
        <v>556</v>
      </c>
      <c r="K65" s="2" t="s">
        <v>620</v>
      </c>
      <c r="L65" s="3" t="str">
        <f t="shared" si="1"/>
        <v>SET003_064</v>
      </c>
      <c r="M65" t="s">
        <v>705</v>
      </c>
      <c r="N65" t="s">
        <v>706</v>
      </c>
      <c r="O65" t="s">
        <v>707</v>
      </c>
      <c r="P65" t="str">
        <f t="shared" si="2"/>
        <v>UPDATE CardPool SET cards_Display_Order = 'SET003_064' WHERE CardCode = 'SL3E-064';</v>
      </c>
    </row>
    <row r="66" spans="1:16" x14ac:dyDescent="0.25">
      <c r="A66" t="s">
        <v>437</v>
      </c>
      <c r="B66" t="s">
        <v>508</v>
      </c>
      <c r="C66" t="s">
        <v>139</v>
      </c>
      <c r="D66" t="s">
        <v>197</v>
      </c>
      <c r="E66" t="s">
        <v>204</v>
      </c>
      <c r="F66" s="1" t="s">
        <v>205</v>
      </c>
      <c r="G66" s="1" t="s">
        <v>206</v>
      </c>
      <c r="H66" s="1" t="s">
        <v>359</v>
      </c>
      <c r="I66" t="str">
        <f t="shared" si="0"/>
        <v>('SL3E-065','SL3E','R','TUSK'),</v>
      </c>
      <c r="J66" t="s">
        <v>556</v>
      </c>
      <c r="K66" s="2" t="s">
        <v>621</v>
      </c>
      <c r="L66" s="3" t="str">
        <f t="shared" si="1"/>
        <v>SET003_065</v>
      </c>
      <c r="M66" t="s">
        <v>705</v>
      </c>
      <c r="N66" t="s">
        <v>706</v>
      </c>
      <c r="O66" t="s">
        <v>707</v>
      </c>
      <c r="P66" t="str">
        <f t="shared" si="2"/>
        <v>UPDATE CardPool SET cards_Display_Order = 'SET003_065' WHERE CardCode = 'SL3E-065';</v>
      </c>
    </row>
    <row r="67" spans="1:16" x14ac:dyDescent="0.25">
      <c r="A67" t="s">
        <v>438</v>
      </c>
      <c r="B67" t="s">
        <v>508</v>
      </c>
      <c r="C67" t="s">
        <v>139</v>
      </c>
      <c r="D67" t="s">
        <v>526</v>
      </c>
      <c r="E67" t="s">
        <v>204</v>
      </c>
      <c r="F67" s="1" t="s">
        <v>205</v>
      </c>
      <c r="G67" s="1" t="s">
        <v>206</v>
      </c>
      <c r="H67" s="1" t="s">
        <v>359</v>
      </c>
      <c r="I67" t="str">
        <f t="shared" ref="I67:I130" si="3">CONCATENATE(E67,A67,F67,B67,F67,C67,F67,D67,G67,H67)</f>
        <v>('SL3E-066','SL3E','R','KAISEL'),</v>
      </c>
      <c r="J67" t="s">
        <v>556</v>
      </c>
      <c r="K67" s="2" t="s">
        <v>622</v>
      </c>
      <c r="L67" s="3" t="str">
        <f t="shared" ref="L67:L130" si="4">_xlfn.CONCAT(J67,"_",K67)</f>
        <v>SET003_066</v>
      </c>
      <c r="M67" t="s">
        <v>705</v>
      </c>
      <c r="N67" t="s">
        <v>706</v>
      </c>
      <c r="O67" t="s">
        <v>707</v>
      </c>
      <c r="P67" t="str">
        <f t="shared" ref="P67:P130" si="5">_xlfn.CONCAT(M67,L67,N67,A67,O67)</f>
        <v>UPDATE CardPool SET cards_Display_Order = 'SET003_066' WHERE CardCode = 'SL3E-066';</v>
      </c>
    </row>
    <row r="68" spans="1:16" x14ac:dyDescent="0.25">
      <c r="A68" t="s">
        <v>439</v>
      </c>
      <c r="B68" t="s">
        <v>508</v>
      </c>
      <c r="C68" t="s">
        <v>139</v>
      </c>
      <c r="D68" t="s">
        <v>193</v>
      </c>
      <c r="E68" t="s">
        <v>204</v>
      </c>
      <c r="F68" s="1" t="s">
        <v>205</v>
      </c>
      <c r="G68" s="1" t="s">
        <v>206</v>
      </c>
      <c r="H68" s="1" t="s">
        <v>359</v>
      </c>
      <c r="I68" t="str">
        <f t="shared" si="3"/>
        <v>('SL3E-067','SL3E','R','HIGH ORC'),</v>
      </c>
      <c r="J68" t="s">
        <v>556</v>
      </c>
      <c r="K68" s="2" t="s">
        <v>623</v>
      </c>
      <c r="L68" s="3" t="str">
        <f t="shared" si="4"/>
        <v>SET003_067</v>
      </c>
      <c r="M68" t="s">
        <v>705</v>
      </c>
      <c r="N68" t="s">
        <v>706</v>
      </c>
      <c r="O68" t="s">
        <v>707</v>
      </c>
      <c r="P68" t="str">
        <f t="shared" si="5"/>
        <v>UPDATE CardPool SET cards_Display_Order = 'SET003_067' WHERE CardCode = 'SL3E-067';</v>
      </c>
    </row>
    <row r="69" spans="1:16" x14ac:dyDescent="0.25">
      <c r="A69" t="s">
        <v>440</v>
      </c>
      <c r="B69" t="s">
        <v>508</v>
      </c>
      <c r="C69" t="s">
        <v>139</v>
      </c>
      <c r="D69" t="s">
        <v>527</v>
      </c>
      <c r="E69" t="s">
        <v>204</v>
      </c>
      <c r="F69" s="1" t="s">
        <v>205</v>
      </c>
      <c r="G69" s="1" t="s">
        <v>206</v>
      </c>
      <c r="H69" s="1" t="s">
        <v>359</v>
      </c>
      <c r="I69" t="str">
        <f t="shared" si="3"/>
        <v>('SL3E-068','SL3E','R','BERU'),</v>
      </c>
      <c r="J69" t="s">
        <v>556</v>
      </c>
      <c r="K69" s="2" t="s">
        <v>624</v>
      </c>
      <c r="L69" s="3" t="str">
        <f t="shared" si="4"/>
        <v>SET003_068</v>
      </c>
      <c r="M69" t="s">
        <v>705</v>
      </c>
      <c r="N69" t="s">
        <v>706</v>
      </c>
      <c r="O69" t="s">
        <v>707</v>
      </c>
      <c r="P69" t="str">
        <f t="shared" si="5"/>
        <v>UPDATE CardPool SET cards_Display_Order = 'SET003_068' WHERE CardCode = 'SL3E-068';</v>
      </c>
    </row>
    <row r="70" spans="1:16" x14ac:dyDescent="0.25">
      <c r="A70" t="s">
        <v>441</v>
      </c>
      <c r="B70" t="s">
        <v>508</v>
      </c>
      <c r="C70" t="s">
        <v>139</v>
      </c>
      <c r="D70" t="s">
        <v>528</v>
      </c>
      <c r="E70" t="s">
        <v>204</v>
      </c>
      <c r="F70" s="1" t="s">
        <v>205</v>
      </c>
      <c r="G70" s="1" t="s">
        <v>206</v>
      </c>
      <c r="H70" s="1" t="s">
        <v>359</v>
      </c>
      <c r="I70" t="str">
        <f t="shared" si="3"/>
        <v>('SL3E-069','SL3E','R','ESIL RADIRU'),</v>
      </c>
      <c r="J70" t="s">
        <v>556</v>
      </c>
      <c r="K70" s="2" t="s">
        <v>625</v>
      </c>
      <c r="L70" s="3" t="str">
        <f t="shared" si="4"/>
        <v>SET003_069</v>
      </c>
      <c r="M70" t="s">
        <v>705</v>
      </c>
      <c r="N70" t="s">
        <v>706</v>
      </c>
      <c r="O70" t="s">
        <v>707</v>
      </c>
      <c r="P70" t="str">
        <f t="shared" si="5"/>
        <v>UPDATE CardPool SET cards_Display_Order = 'SET003_069' WHERE CardCode = 'SL3E-069';</v>
      </c>
    </row>
    <row r="71" spans="1:16" x14ac:dyDescent="0.25">
      <c r="A71" t="s">
        <v>442</v>
      </c>
      <c r="B71" t="s">
        <v>508</v>
      </c>
      <c r="C71" t="s">
        <v>139</v>
      </c>
      <c r="D71" t="s">
        <v>531</v>
      </c>
      <c r="E71" t="s">
        <v>204</v>
      </c>
      <c r="F71" s="1" t="s">
        <v>205</v>
      </c>
      <c r="G71" s="1" t="s">
        <v>206</v>
      </c>
      <c r="H71" s="1" t="s">
        <v>359</v>
      </c>
      <c r="I71" t="str">
        <f t="shared" si="3"/>
        <v>('SL3E-070','SL3E','R','BARAN, THE DEMON KING'),</v>
      </c>
      <c r="J71" t="s">
        <v>556</v>
      </c>
      <c r="K71" s="2" t="s">
        <v>626</v>
      </c>
      <c r="L71" s="3" t="str">
        <f t="shared" si="4"/>
        <v>SET003_070</v>
      </c>
      <c r="M71" t="s">
        <v>705</v>
      </c>
      <c r="N71" t="s">
        <v>706</v>
      </c>
      <c r="O71" t="s">
        <v>707</v>
      </c>
      <c r="P71" t="str">
        <f t="shared" si="5"/>
        <v>UPDATE CardPool SET cards_Display_Order = 'SET003_070' WHERE CardCode = 'SL3E-070';</v>
      </c>
    </row>
    <row r="72" spans="1:16" x14ac:dyDescent="0.25">
      <c r="A72" t="s">
        <v>443</v>
      </c>
      <c r="B72" t="s">
        <v>508</v>
      </c>
      <c r="C72" t="s">
        <v>139</v>
      </c>
      <c r="D72" t="s">
        <v>530</v>
      </c>
      <c r="E72" t="s">
        <v>204</v>
      </c>
      <c r="F72" s="1" t="s">
        <v>205</v>
      </c>
      <c r="G72" s="1" t="s">
        <v>206</v>
      </c>
      <c r="H72" s="1" t="s">
        <v>359</v>
      </c>
      <c r="I72" t="str">
        <f t="shared" si="3"/>
        <v>('SL3E-071','SL3E','R','WYVERN KAISELLIN'),</v>
      </c>
      <c r="J72" t="s">
        <v>556</v>
      </c>
      <c r="K72" s="2" t="s">
        <v>627</v>
      </c>
      <c r="L72" s="3" t="str">
        <f t="shared" si="4"/>
        <v>SET003_071</v>
      </c>
      <c r="M72" t="s">
        <v>705</v>
      </c>
      <c r="N72" t="s">
        <v>706</v>
      </c>
      <c r="O72" t="s">
        <v>707</v>
      </c>
      <c r="P72" t="str">
        <f t="shared" si="5"/>
        <v>UPDATE CardPool SET cards_Display_Order = 'SET003_071' WHERE CardCode = 'SL3E-071';</v>
      </c>
    </row>
    <row r="73" spans="1:16" x14ac:dyDescent="0.25">
      <c r="A73" t="s">
        <v>444</v>
      </c>
      <c r="B73" t="s">
        <v>508</v>
      </c>
      <c r="C73" t="s">
        <v>139</v>
      </c>
      <c r="D73" t="s">
        <v>532</v>
      </c>
      <c r="E73" t="s">
        <v>204</v>
      </c>
      <c r="F73" s="1" t="s">
        <v>205</v>
      </c>
      <c r="G73" s="1" t="s">
        <v>206</v>
      </c>
      <c r="H73" s="1" t="s">
        <v>359</v>
      </c>
      <c r="I73" t="str">
        <f t="shared" si="3"/>
        <v>('SL3E-072','SL3E','R','ANT'),</v>
      </c>
      <c r="J73" t="s">
        <v>556</v>
      </c>
      <c r="K73" s="2" t="s">
        <v>628</v>
      </c>
      <c r="L73" s="3" t="str">
        <f t="shared" si="4"/>
        <v>SET003_072</v>
      </c>
      <c r="M73" t="s">
        <v>705</v>
      </c>
      <c r="N73" t="s">
        <v>706</v>
      </c>
      <c r="O73" t="s">
        <v>707</v>
      </c>
      <c r="P73" t="str">
        <f t="shared" si="5"/>
        <v>UPDATE CardPool SET cards_Display_Order = 'SET003_072' WHERE CardCode = 'SL3E-072';</v>
      </c>
    </row>
    <row r="74" spans="1:16" x14ac:dyDescent="0.25">
      <c r="A74" t="s">
        <v>445</v>
      </c>
      <c r="B74" t="s">
        <v>508</v>
      </c>
      <c r="C74" t="s">
        <v>140</v>
      </c>
      <c r="D74" t="s">
        <v>533</v>
      </c>
      <c r="E74" t="s">
        <v>204</v>
      </c>
      <c r="F74" s="1" t="s">
        <v>205</v>
      </c>
      <c r="G74" s="1" t="s">
        <v>206</v>
      </c>
      <c r="H74" s="1" t="s">
        <v>359</v>
      </c>
      <c r="I74" t="str">
        <f t="shared" si="3"/>
        <v>('SL3E-073','SL3E','SR','ANT KING'),</v>
      </c>
      <c r="J74" t="s">
        <v>556</v>
      </c>
      <c r="K74" s="2" t="s">
        <v>629</v>
      </c>
      <c r="L74" s="3" t="str">
        <f t="shared" si="4"/>
        <v>SET003_073</v>
      </c>
      <c r="M74" t="s">
        <v>705</v>
      </c>
      <c r="N74" t="s">
        <v>706</v>
      </c>
      <c r="O74" t="s">
        <v>707</v>
      </c>
      <c r="P74" t="str">
        <f t="shared" si="5"/>
        <v>UPDATE CardPool SET cards_Display_Order = 'SET003_073' WHERE CardCode = 'SL3E-073';</v>
      </c>
    </row>
    <row r="75" spans="1:16" x14ac:dyDescent="0.25">
      <c r="A75" t="s">
        <v>446</v>
      </c>
      <c r="B75" t="s">
        <v>508</v>
      </c>
      <c r="C75" t="s">
        <v>140</v>
      </c>
      <c r="D75" t="s">
        <v>535</v>
      </c>
      <c r="E75" t="s">
        <v>204</v>
      </c>
      <c r="F75" s="1" t="s">
        <v>205</v>
      </c>
      <c r="G75" s="1" t="s">
        <v>206</v>
      </c>
      <c r="H75" s="1" t="s">
        <v>359</v>
      </c>
      <c r="I75" t="str">
        <f t="shared" si="3"/>
        <v>('SL3E-074','SL3E','SR','SUNG JINWOO/YOO JINHO/GO GUNHEE/WOO JINCHUL'),</v>
      </c>
      <c r="J75" t="s">
        <v>556</v>
      </c>
      <c r="K75" s="2" t="s">
        <v>630</v>
      </c>
      <c r="L75" s="3" t="str">
        <f t="shared" si="4"/>
        <v>SET003_074</v>
      </c>
      <c r="M75" t="s">
        <v>705</v>
      </c>
      <c r="N75" t="s">
        <v>706</v>
      </c>
      <c r="O75" t="s">
        <v>707</v>
      </c>
      <c r="P75" t="str">
        <f t="shared" si="5"/>
        <v>UPDATE CardPool SET cards_Display_Order = 'SET003_074' WHERE CardCode = 'SL3E-074';</v>
      </c>
    </row>
    <row r="76" spans="1:16" x14ac:dyDescent="0.25">
      <c r="A76" t="s">
        <v>447</v>
      </c>
      <c r="B76" t="s">
        <v>508</v>
      </c>
      <c r="C76" t="s">
        <v>140</v>
      </c>
      <c r="D76" t="s">
        <v>536</v>
      </c>
      <c r="E76" t="s">
        <v>204</v>
      </c>
      <c r="F76" s="1" t="s">
        <v>205</v>
      </c>
      <c r="G76" s="1" t="s">
        <v>206</v>
      </c>
      <c r="H76" s="1" t="s">
        <v>359</v>
      </c>
      <c r="I76" t="str">
        <f t="shared" si="3"/>
        <v>('SL3E-075','SL3E','SR','CHOI JONG-IN/CHA HAE-IN'),</v>
      </c>
      <c r="J76" t="s">
        <v>556</v>
      </c>
      <c r="K76" s="2" t="s">
        <v>631</v>
      </c>
      <c r="L76" s="3" t="str">
        <f t="shared" si="4"/>
        <v>SET003_075</v>
      </c>
      <c r="M76" t="s">
        <v>705</v>
      </c>
      <c r="N76" t="s">
        <v>706</v>
      </c>
      <c r="O76" t="s">
        <v>707</v>
      </c>
      <c r="P76" t="str">
        <f t="shared" si="5"/>
        <v>UPDATE CardPool SET cards_Display_Order = 'SET003_075' WHERE CardCode = 'SL3E-075';</v>
      </c>
    </row>
    <row r="77" spans="1:16" x14ac:dyDescent="0.25">
      <c r="A77" t="s">
        <v>448</v>
      </c>
      <c r="B77" t="s">
        <v>508</v>
      </c>
      <c r="C77" t="s">
        <v>140</v>
      </c>
      <c r="D77" t="s">
        <v>537</v>
      </c>
      <c r="E77" t="s">
        <v>204</v>
      </c>
      <c r="F77" s="1" t="s">
        <v>205</v>
      </c>
      <c r="G77" s="1" t="s">
        <v>206</v>
      </c>
      <c r="H77" s="1" t="s">
        <v>359</v>
      </c>
      <c r="I77" t="str">
        <f t="shared" si="3"/>
        <v>('SL3E-076','SL3E','SR','BAEK YOONHO/MIN BYUNG-GU'),</v>
      </c>
      <c r="J77" t="s">
        <v>556</v>
      </c>
      <c r="K77" s="2" t="s">
        <v>632</v>
      </c>
      <c r="L77" s="3" t="str">
        <f t="shared" si="4"/>
        <v>SET003_076</v>
      </c>
      <c r="M77" t="s">
        <v>705</v>
      </c>
      <c r="N77" t="s">
        <v>706</v>
      </c>
      <c r="O77" t="s">
        <v>707</v>
      </c>
      <c r="P77" t="str">
        <f t="shared" si="5"/>
        <v>UPDATE CardPool SET cards_Display_Order = 'SET003_076' WHERE CardCode = 'SL3E-076';</v>
      </c>
    </row>
    <row r="78" spans="1:16" x14ac:dyDescent="0.25">
      <c r="A78" t="s">
        <v>449</v>
      </c>
      <c r="B78" t="s">
        <v>508</v>
      </c>
      <c r="C78" t="s">
        <v>140</v>
      </c>
      <c r="D78" t="s">
        <v>538</v>
      </c>
      <c r="E78" t="s">
        <v>204</v>
      </c>
      <c r="F78" s="1" t="s">
        <v>205</v>
      </c>
      <c r="G78" s="1" t="s">
        <v>206</v>
      </c>
      <c r="H78" s="1" t="s">
        <v>359</v>
      </c>
      <c r="I78" t="str">
        <f t="shared" si="3"/>
        <v>('SL3E-077','SL3E','SR','IGRIS/TUSK/TANK/IRON'),</v>
      </c>
      <c r="J78" t="s">
        <v>556</v>
      </c>
      <c r="K78" s="2" t="s">
        <v>633</v>
      </c>
      <c r="L78" s="3" t="str">
        <f t="shared" si="4"/>
        <v>SET003_077</v>
      </c>
      <c r="M78" t="s">
        <v>705</v>
      </c>
      <c r="N78" t="s">
        <v>706</v>
      </c>
      <c r="O78" t="s">
        <v>707</v>
      </c>
      <c r="P78" t="str">
        <f t="shared" si="5"/>
        <v>UPDATE CardPool SET cards_Display_Order = 'SET003_077' WHERE CardCode = 'SL3E-077';</v>
      </c>
    </row>
    <row r="79" spans="1:16" x14ac:dyDescent="0.25">
      <c r="A79" t="s">
        <v>450</v>
      </c>
      <c r="B79" t="s">
        <v>508</v>
      </c>
      <c r="C79" t="s">
        <v>140</v>
      </c>
      <c r="D79" t="s">
        <v>163</v>
      </c>
      <c r="E79" t="s">
        <v>204</v>
      </c>
      <c r="F79" s="1" t="s">
        <v>205</v>
      </c>
      <c r="G79" s="1" t="s">
        <v>206</v>
      </c>
      <c r="H79" s="1" t="s">
        <v>359</v>
      </c>
      <c r="I79" t="str">
        <f t="shared" si="3"/>
        <v>('SL3E-078','SL3E','SR','SUNG IL-HWAN'),</v>
      </c>
      <c r="J79" t="s">
        <v>556</v>
      </c>
      <c r="K79" s="2" t="s">
        <v>634</v>
      </c>
      <c r="L79" s="3" t="str">
        <f t="shared" si="4"/>
        <v>SET003_078</v>
      </c>
      <c r="M79" t="s">
        <v>705</v>
      </c>
      <c r="N79" t="s">
        <v>706</v>
      </c>
      <c r="O79" t="s">
        <v>707</v>
      </c>
      <c r="P79" t="str">
        <f t="shared" si="5"/>
        <v>UPDATE CardPool SET cards_Display_Order = 'SET003_078' WHERE CardCode = 'SL3E-078';</v>
      </c>
    </row>
    <row r="80" spans="1:16" x14ac:dyDescent="0.25">
      <c r="A80" t="s">
        <v>451</v>
      </c>
      <c r="B80" t="s">
        <v>508</v>
      </c>
      <c r="C80" t="s">
        <v>140</v>
      </c>
      <c r="D80" t="s">
        <v>162</v>
      </c>
      <c r="E80" t="s">
        <v>204</v>
      </c>
      <c r="F80" s="1" t="s">
        <v>205</v>
      </c>
      <c r="G80" s="1" t="s">
        <v>206</v>
      </c>
      <c r="H80" s="1" t="s">
        <v>359</v>
      </c>
      <c r="I80" t="str">
        <f t="shared" si="3"/>
        <v>('SL3E-079','SL3E','SR','SUNG JINAH'),</v>
      </c>
      <c r="J80" t="s">
        <v>556</v>
      </c>
      <c r="K80" s="2" t="s">
        <v>635</v>
      </c>
      <c r="L80" s="3" t="str">
        <f t="shared" si="4"/>
        <v>SET003_079</v>
      </c>
      <c r="M80" t="s">
        <v>705</v>
      </c>
      <c r="N80" t="s">
        <v>706</v>
      </c>
      <c r="O80" t="s">
        <v>707</v>
      </c>
      <c r="P80" t="str">
        <f t="shared" si="5"/>
        <v>UPDATE CardPool SET cards_Display_Order = 'SET003_079' WHERE CardCode = 'SL3E-079';</v>
      </c>
    </row>
    <row r="81" spans="1:16" x14ac:dyDescent="0.25">
      <c r="A81" t="s">
        <v>452</v>
      </c>
      <c r="B81" t="s">
        <v>508</v>
      </c>
      <c r="C81" t="s">
        <v>140</v>
      </c>
      <c r="D81" t="s">
        <v>164</v>
      </c>
      <c r="E81" t="s">
        <v>204</v>
      </c>
      <c r="F81" s="1" t="s">
        <v>205</v>
      </c>
      <c r="G81" s="1" t="s">
        <v>206</v>
      </c>
      <c r="H81" s="1" t="s">
        <v>359</v>
      </c>
      <c r="I81" t="str">
        <f t="shared" si="3"/>
        <v>('SL3E-080','SL3E','SR','HAN SONG-YI'),</v>
      </c>
      <c r="J81" t="s">
        <v>556</v>
      </c>
      <c r="K81" s="2" t="s">
        <v>636</v>
      </c>
      <c r="L81" s="3" t="str">
        <f t="shared" si="4"/>
        <v>SET003_080</v>
      </c>
      <c r="M81" t="s">
        <v>705</v>
      </c>
      <c r="N81" t="s">
        <v>706</v>
      </c>
      <c r="O81" t="s">
        <v>707</v>
      </c>
      <c r="P81" t="str">
        <f t="shared" si="5"/>
        <v>UPDATE CardPool SET cards_Display_Order = 'SET003_080' WHERE CardCode = 'SL3E-080';</v>
      </c>
    </row>
    <row r="82" spans="1:16" x14ac:dyDescent="0.25">
      <c r="A82" t="s">
        <v>453</v>
      </c>
      <c r="B82" t="s">
        <v>508</v>
      </c>
      <c r="C82" t="s">
        <v>140</v>
      </c>
      <c r="D82" t="s">
        <v>528</v>
      </c>
      <c r="E82" t="s">
        <v>204</v>
      </c>
      <c r="F82" s="1" t="s">
        <v>205</v>
      </c>
      <c r="G82" s="1" t="s">
        <v>206</v>
      </c>
      <c r="H82" s="1" t="s">
        <v>359</v>
      </c>
      <c r="I82" t="str">
        <f t="shared" si="3"/>
        <v>('SL3E-081','SL3E','SR','ESIL RADIRU'),</v>
      </c>
      <c r="J82" t="s">
        <v>556</v>
      </c>
      <c r="K82" s="2" t="s">
        <v>637</v>
      </c>
      <c r="L82" s="3" t="str">
        <f t="shared" si="4"/>
        <v>SET003_081</v>
      </c>
      <c r="M82" t="s">
        <v>705</v>
      </c>
      <c r="N82" t="s">
        <v>706</v>
      </c>
      <c r="O82" t="s">
        <v>707</v>
      </c>
      <c r="P82" t="str">
        <f t="shared" si="5"/>
        <v>UPDATE CardPool SET cards_Display_Order = 'SET003_081' WHERE CardCode = 'SL3E-081';</v>
      </c>
    </row>
    <row r="83" spans="1:16" x14ac:dyDescent="0.25">
      <c r="A83" t="s">
        <v>454</v>
      </c>
      <c r="B83" t="s">
        <v>508</v>
      </c>
      <c r="C83" t="s">
        <v>140</v>
      </c>
      <c r="D83" t="s">
        <v>534</v>
      </c>
      <c r="E83" t="s">
        <v>204</v>
      </c>
      <c r="F83" s="1" t="s">
        <v>205</v>
      </c>
      <c r="G83" s="1" t="s">
        <v>206</v>
      </c>
      <c r="H83" s="1" t="s">
        <v>359</v>
      </c>
      <c r="I83" t="str">
        <f t="shared" si="3"/>
        <v>('SL3E-082','SL3E','SR','GOTO RYUJI'),</v>
      </c>
      <c r="J83" t="s">
        <v>556</v>
      </c>
      <c r="K83" s="2" t="s">
        <v>638</v>
      </c>
      <c r="L83" s="3" t="str">
        <f t="shared" si="4"/>
        <v>SET003_082</v>
      </c>
      <c r="M83" t="s">
        <v>705</v>
      </c>
      <c r="N83" t="s">
        <v>706</v>
      </c>
      <c r="O83" t="s">
        <v>707</v>
      </c>
      <c r="P83" t="str">
        <f t="shared" si="5"/>
        <v>UPDATE CardPool SET cards_Display_Order = 'SET003_082' WHERE CardCode = 'SL3E-082';</v>
      </c>
    </row>
    <row r="84" spans="1:16" x14ac:dyDescent="0.25">
      <c r="A84" t="s">
        <v>455</v>
      </c>
      <c r="B84" t="s">
        <v>508</v>
      </c>
      <c r="C84" t="s">
        <v>140</v>
      </c>
      <c r="D84" t="s">
        <v>539</v>
      </c>
      <c r="E84" t="s">
        <v>204</v>
      </c>
      <c r="F84" s="1" t="s">
        <v>205</v>
      </c>
      <c r="G84" s="1" t="s">
        <v>206</v>
      </c>
      <c r="H84" s="1" t="s">
        <v>359</v>
      </c>
      <c r="I84" t="str">
        <f t="shared" si="3"/>
        <v>('SL3E-083','SL3E','SR','HWAN DONGSOO'),</v>
      </c>
      <c r="J84" t="s">
        <v>556</v>
      </c>
      <c r="K84" s="2" t="s">
        <v>639</v>
      </c>
      <c r="L84" s="3" t="str">
        <f t="shared" si="4"/>
        <v>SET003_083</v>
      </c>
      <c r="M84" t="s">
        <v>705</v>
      </c>
      <c r="N84" t="s">
        <v>706</v>
      </c>
      <c r="O84" t="s">
        <v>707</v>
      </c>
      <c r="P84" t="str">
        <f t="shared" si="5"/>
        <v>UPDATE CardPool SET cards_Display_Order = 'SET003_083' WHERE CardCode = 'SL3E-083';</v>
      </c>
    </row>
    <row r="85" spans="1:16" x14ac:dyDescent="0.25">
      <c r="A85" t="s">
        <v>456</v>
      </c>
      <c r="B85" t="s">
        <v>508</v>
      </c>
      <c r="C85" t="s">
        <v>140</v>
      </c>
      <c r="D85" t="s">
        <v>527</v>
      </c>
      <c r="E85" t="s">
        <v>204</v>
      </c>
      <c r="F85" s="1" t="s">
        <v>205</v>
      </c>
      <c r="G85" s="1" t="s">
        <v>206</v>
      </c>
      <c r="H85" s="1" t="s">
        <v>359</v>
      </c>
      <c r="I85" t="str">
        <f t="shared" si="3"/>
        <v>('SL3E-084','SL3E','SR','BERU'),</v>
      </c>
      <c r="J85" t="s">
        <v>556</v>
      </c>
      <c r="K85" s="2" t="s">
        <v>640</v>
      </c>
      <c r="L85" s="3" t="str">
        <f t="shared" si="4"/>
        <v>SET003_084</v>
      </c>
      <c r="M85" t="s">
        <v>705</v>
      </c>
      <c r="N85" t="s">
        <v>706</v>
      </c>
      <c r="O85" t="s">
        <v>707</v>
      </c>
      <c r="P85" t="str">
        <f t="shared" si="5"/>
        <v>UPDATE CardPool SET cards_Display_Order = 'SET003_084' WHERE CardCode = 'SL3E-084';</v>
      </c>
    </row>
    <row r="86" spans="1:16" x14ac:dyDescent="0.25">
      <c r="A86" t="s">
        <v>457</v>
      </c>
      <c r="B86" t="s">
        <v>508</v>
      </c>
      <c r="C86" t="s">
        <v>140</v>
      </c>
      <c r="D86" t="s">
        <v>526</v>
      </c>
      <c r="E86" t="s">
        <v>204</v>
      </c>
      <c r="F86" s="1" t="s">
        <v>205</v>
      </c>
      <c r="G86" s="1" t="s">
        <v>206</v>
      </c>
      <c r="H86" s="1" t="s">
        <v>359</v>
      </c>
      <c r="I86" t="str">
        <f t="shared" si="3"/>
        <v>('SL3E-085','SL3E','SR','KAISEL'),</v>
      </c>
      <c r="J86" t="s">
        <v>556</v>
      </c>
      <c r="K86" s="2" t="s">
        <v>641</v>
      </c>
      <c r="L86" s="3" t="str">
        <f t="shared" si="4"/>
        <v>SET003_085</v>
      </c>
      <c r="M86" t="s">
        <v>705</v>
      </c>
      <c r="N86" t="s">
        <v>706</v>
      </c>
      <c r="O86" t="s">
        <v>707</v>
      </c>
      <c r="P86" t="str">
        <f t="shared" si="5"/>
        <v>UPDATE CardPool SET cards_Display_Order = 'SET003_085' WHERE CardCode = 'SL3E-085';</v>
      </c>
    </row>
    <row r="87" spans="1:16" x14ac:dyDescent="0.25">
      <c r="A87" t="s">
        <v>458</v>
      </c>
      <c r="B87" t="s">
        <v>508</v>
      </c>
      <c r="C87" t="s">
        <v>141</v>
      </c>
      <c r="D87" t="s">
        <v>535</v>
      </c>
      <c r="E87" t="s">
        <v>204</v>
      </c>
      <c r="F87" s="1" t="s">
        <v>205</v>
      </c>
      <c r="G87" s="1" t="s">
        <v>206</v>
      </c>
      <c r="H87" s="1" t="s">
        <v>359</v>
      </c>
      <c r="I87" t="str">
        <f t="shared" si="3"/>
        <v>('SL3E-074-P','SL3E','SR-P','SUNG JINWOO/YOO JINHO/GO GUNHEE/WOO JINCHUL'),</v>
      </c>
      <c r="J87" t="s">
        <v>556</v>
      </c>
      <c r="K87" s="2" t="s">
        <v>642</v>
      </c>
      <c r="L87" s="3" t="str">
        <f t="shared" si="4"/>
        <v>SET003_086</v>
      </c>
      <c r="M87" t="s">
        <v>705</v>
      </c>
      <c r="N87" t="s">
        <v>706</v>
      </c>
      <c r="O87" t="s">
        <v>707</v>
      </c>
      <c r="P87" t="str">
        <f t="shared" si="5"/>
        <v>UPDATE CardPool SET cards_Display_Order = 'SET003_086' WHERE CardCode = 'SL3E-074-P';</v>
      </c>
    </row>
    <row r="88" spans="1:16" x14ac:dyDescent="0.25">
      <c r="A88" t="s">
        <v>459</v>
      </c>
      <c r="B88" t="s">
        <v>508</v>
      </c>
      <c r="C88" t="s">
        <v>141</v>
      </c>
      <c r="D88" t="s">
        <v>536</v>
      </c>
      <c r="E88" t="s">
        <v>204</v>
      </c>
      <c r="F88" s="1" t="s">
        <v>205</v>
      </c>
      <c r="G88" s="1" t="s">
        <v>206</v>
      </c>
      <c r="H88" s="1" t="s">
        <v>359</v>
      </c>
      <c r="I88" t="str">
        <f t="shared" si="3"/>
        <v>('SL3E-075-P','SL3E','SR-P','CHOI JONG-IN/CHA HAE-IN'),</v>
      </c>
      <c r="J88" t="s">
        <v>556</v>
      </c>
      <c r="K88" s="2" t="s">
        <v>643</v>
      </c>
      <c r="L88" s="3" t="str">
        <f t="shared" si="4"/>
        <v>SET003_087</v>
      </c>
      <c r="M88" t="s">
        <v>705</v>
      </c>
      <c r="N88" t="s">
        <v>706</v>
      </c>
      <c r="O88" t="s">
        <v>707</v>
      </c>
      <c r="P88" t="str">
        <f t="shared" si="5"/>
        <v>UPDATE CardPool SET cards_Display_Order = 'SET003_087' WHERE CardCode = 'SL3E-075-P';</v>
      </c>
    </row>
    <row r="89" spans="1:16" x14ac:dyDescent="0.25">
      <c r="A89" t="s">
        <v>460</v>
      </c>
      <c r="B89" t="s">
        <v>508</v>
      </c>
      <c r="C89" t="s">
        <v>141</v>
      </c>
      <c r="D89" t="s">
        <v>537</v>
      </c>
      <c r="E89" t="s">
        <v>204</v>
      </c>
      <c r="F89" s="1" t="s">
        <v>205</v>
      </c>
      <c r="G89" s="1" t="s">
        <v>206</v>
      </c>
      <c r="H89" s="1" t="s">
        <v>359</v>
      </c>
      <c r="I89" t="str">
        <f t="shared" si="3"/>
        <v>('SL3E-076-P','SL3E','SR-P','BAEK YOONHO/MIN BYUNG-GU'),</v>
      </c>
      <c r="J89" t="s">
        <v>556</v>
      </c>
      <c r="K89" s="2" t="s">
        <v>644</v>
      </c>
      <c r="L89" s="3" t="str">
        <f t="shared" si="4"/>
        <v>SET003_088</v>
      </c>
      <c r="M89" t="s">
        <v>705</v>
      </c>
      <c r="N89" t="s">
        <v>706</v>
      </c>
      <c r="O89" t="s">
        <v>707</v>
      </c>
      <c r="P89" t="str">
        <f t="shared" si="5"/>
        <v>UPDATE CardPool SET cards_Display_Order = 'SET003_088' WHERE CardCode = 'SL3E-076-P';</v>
      </c>
    </row>
    <row r="90" spans="1:16" x14ac:dyDescent="0.25">
      <c r="A90" t="s">
        <v>461</v>
      </c>
      <c r="B90" t="s">
        <v>508</v>
      </c>
      <c r="C90" t="s">
        <v>141</v>
      </c>
      <c r="D90" t="s">
        <v>538</v>
      </c>
      <c r="E90" t="s">
        <v>204</v>
      </c>
      <c r="F90" s="1" t="s">
        <v>205</v>
      </c>
      <c r="G90" s="1" t="s">
        <v>206</v>
      </c>
      <c r="H90" s="1" t="s">
        <v>359</v>
      </c>
      <c r="I90" t="str">
        <f t="shared" si="3"/>
        <v>('SL3E-077-P','SL3E','SR-P','IGRIS/TUSK/TANK/IRON'),</v>
      </c>
      <c r="J90" t="s">
        <v>556</v>
      </c>
      <c r="K90" s="2" t="s">
        <v>645</v>
      </c>
      <c r="L90" s="3" t="str">
        <f t="shared" si="4"/>
        <v>SET003_089</v>
      </c>
      <c r="M90" t="s">
        <v>705</v>
      </c>
      <c r="N90" t="s">
        <v>706</v>
      </c>
      <c r="O90" t="s">
        <v>707</v>
      </c>
      <c r="P90" t="str">
        <f t="shared" si="5"/>
        <v>UPDATE CardPool SET cards_Display_Order = 'SET003_089' WHERE CardCode = 'SL3E-077-P';</v>
      </c>
    </row>
    <row r="91" spans="1:16" x14ac:dyDescent="0.25">
      <c r="A91" t="s">
        <v>462</v>
      </c>
      <c r="B91" t="s">
        <v>508</v>
      </c>
      <c r="C91" t="s">
        <v>141</v>
      </c>
      <c r="D91" t="s">
        <v>163</v>
      </c>
      <c r="E91" t="s">
        <v>204</v>
      </c>
      <c r="F91" s="1" t="s">
        <v>205</v>
      </c>
      <c r="G91" s="1" t="s">
        <v>206</v>
      </c>
      <c r="H91" s="1" t="s">
        <v>359</v>
      </c>
      <c r="I91" t="str">
        <f t="shared" si="3"/>
        <v>('SL3E-078-P','SL3E','SR-P','SUNG IL-HWAN'),</v>
      </c>
      <c r="J91" t="s">
        <v>556</v>
      </c>
      <c r="K91" s="2" t="s">
        <v>646</v>
      </c>
      <c r="L91" s="3" t="str">
        <f t="shared" si="4"/>
        <v>SET003_090</v>
      </c>
      <c r="M91" t="s">
        <v>705</v>
      </c>
      <c r="N91" t="s">
        <v>706</v>
      </c>
      <c r="O91" t="s">
        <v>707</v>
      </c>
      <c r="P91" t="str">
        <f t="shared" si="5"/>
        <v>UPDATE CardPool SET cards_Display_Order = 'SET003_090' WHERE CardCode = 'SL3E-078-P';</v>
      </c>
    </row>
    <row r="92" spans="1:16" x14ac:dyDescent="0.25">
      <c r="A92" t="s">
        <v>463</v>
      </c>
      <c r="B92" t="s">
        <v>508</v>
      </c>
      <c r="C92" t="s">
        <v>141</v>
      </c>
      <c r="D92" t="s">
        <v>162</v>
      </c>
      <c r="E92" t="s">
        <v>204</v>
      </c>
      <c r="F92" s="1" t="s">
        <v>205</v>
      </c>
      <c r="G92" s="1" t="s">
        <v>206</v>
      </c>
      <c r="H92" s="1" t="s">
        <v>359</v>
      </c>
      <c r="I92" t="str">
        <f t="shared" si="3"/>
        <v>('SL3E-079-P','SL3E','SR-P','SUNG JINAH'),</v>
      </c>
      <c r="J92" t="s">
        <v>556</v>
      </c>
      <c r="K92" s="2" t="s">
        <v>647</v>
      </c>
      <c r="L92" s="3" t="str">
        <f t="shared" si="4"/>
        <v>SET003_091</v>
      </c>
      <c r="M92" t="s">
        <v>705</v>
      </c>
      <c r="N92" t="s">
        <v>706</v>
      </c>
      <c r="O92" t="s">
        <v>707</v>
      </c>
      <c r="P92" t="str">
        <f t="shared" si="5"/>
        <v>UPDATE CardPool SET cards_Display_Order = 'SET003_091' WHERE CardCode = 'SL3E-079-P';</v>
      </c>
    </row>
    <row r="93" spans="1:16" x14ac:dyDescent="0.25">
      <c r="A93" t="s">
        <v>464</v>
      </c>
      <c r="B93" t="s">
        <v>508</v>
      </c>
      <c r="C93" t="s">
        <v>141</v>
      </c>
      <c r="D93" t="s">
        <v>164</v>
      </c>
      <c r="E93" t="s">
        <v>204</v>
      </c>
      <c r="F93" s="1" t="s">
        <v>205</v>
      </c>
      <c r="G93" s="1" t="s">
        <v>206</v>
      </c>
      <c r="H93" s="1" t="s">
        <v>359</v>
      </c>
      <c r="I93" t="str">
        <f t="shared" si="3"/>
        <v>('SL3E-080-P','SL3E','SR-P','HAN SONG-YI'),</v>
      </c>
      <c r="J93" t="s">
        <v>556</v>
      </c>
      <c r="K93" s="2" t="s">
        <v>648</v>
      </c>
      <c r="L93" s="3" t="str">
        <f t="shared" si="4"/>
        <v>SET003_092</v>
      </c>
      <c r="M93" t="s">
        <v>705</v>
      </c>
      <c r="N93" t="s">
        <v>706</v>
      </c>
      <c r="O93" t="s">
        <v>707</v>
      </c>
      <c r="P93" t="str">
        <f t="shared" si="5"/>
        <v>UPDATE CardPool SET cards_Display_Order = 'SET003_092' WHERE CardCode = 'SL3E-080-P';</v>
      </c>
    </row>
    <row r="94" spans="1:16" x14ac:dyDescent="0.25">
      <c r="A94" t="s">
        <v>465</v>
      </c>
      <c r="B94" t="s">
        <v>508</v>
      </c>
      <c r="C94" t="s">
        <v>141</v>
      </c>
      <c r="D94" t="s">
        <v>528</v>
      </c>
      <c r="E94" t="s">
        <v>204</v>
      </c>
      <c r="F94" s="1" t="s">
        <v>205</v>
      </c>
      <c r="G94" s="1" t="s">
        <v>206</v>
      </c>
      <c r="H94" s="1" t="s">
        <v>359</v>
      </c>
      <c r="I94" t="str">
        <f t="shared" si="3"/>
        <v>('SL3E-081-P','SL3E','SR-P','ESIL RADIRU'),</v>
      </c>
      <c r="J94" t="s">
        <v>556</v>
      </c>
      <c r="K94" s="2" t="s">
        <v>649</v>
      </c>
      <c r="L94" s="3" t="str">
        <f t="shared" si="4"/>
        <v>SET003_093</v>
      </c>
      <c r="M94" t="s">
        <v>705</v>
      </c>
      <c r="N94" t="s">
        <v>706</v>
      </c>
      <c r="O94" t="s">
        <v>707</v>
      </c>
      <c r="P94" t="str">
        <f t="shared" si="5"/>
        <v>UPDATE CardPool SET cards_Display_Order = 'SET003_093' WHERE CardCode = 'SL3E-081-P';</v>
      </c>
    </row>
    <row r="95" spans="1:16" x14ac:dyDescent="0.25">
      <c r="A95" t="s">
        <v>466</v>
      </c>
      <c r="B95" t="s">
        <v>508</v>
      </c>
      <c r="C95" t="s">
        <v>141</v>
      </c>
      <c r="D95" t="s">
        <v>534</v>
      </c>
      <c r="E95" t="s">
        <v>204</v>
      </c>
      <c r="F95" s="1" t="s">
        <v>205</v>
      </c>
      <c r="G95" s="1" t="s">
        <v>206</v>
      </c>
      <c r="H95" s="1" t="s">
        <v>359</v>
      </c>
      <c r="I95" t="str">
        <f t="shared" si="3"/>
        <v>('SL3E-082-P','SL3E','SR-P','GOTO RYUJI'),</v>
      </c>
      <c r="J95" t="s">
        <v>556</v>
      </c>
      <c r="K95" s="2" t="s">
        <v>650</v>
      </c>
      <c r="L95" s="3" t="str">
        <f t="shared" si="4"/>
        <v>SET003_094</v>
      </c>
      <c r="M95" t="s">
        <v>705</v>
      </c>
      <c r="N95" t="s">
        <v>706</v>
      </c>
      <c r="O95" t="s">
        <v>707</v>
      </c>
      <c r="P95" t="str">
        <f t="shared" si="5"/>
        <v>UPDATE CardPool SET cards_Display_Order = 'SET003_094' WHERE CardCode = 'SL3E-082-P';</v>
      </c>
    </row>
    <row r="96" spans="1:16" x14ac:dyDescent="0.25">
      <c r="A96" t="s">
        <v>467</v>
      </c>
      <c r="B96" t="s">
        <v>508</v>
      </c>
      <c r="C96" t="s">
        <v>141</v>
      </c>
      <c r="D96" t="s">
        <v>539</v>
      </c>
      <c r="E96" t="s">
        <v>204</v>
      </c>
      <c r="F96" s="1" t="s">
        <v>205</v>
      </c>
      <c r="G96" s="1" t="s">
        <v>206</v>
      </c>
      <c r="H96" s="1" t="s">
        <v>359</v>
      </c>
      <c r="I96" t="str">
        <f t="shared" si="3"/>
        <v>('SL3E-083-P','SL3E','SR-P','HWAN DONGSOO'),</v>
      </c>
      <c r="J96" t="s">
        <v>556</v>
      </c>
      <c r="K96" s="2" t="s">
        <v>651</v>
      </c>
      <c r="L96" s="3" t="str">
        <f t="shared" si="4"/>
        <v>SET003_095</v>
      </c>
      <c r="M96" t="s">
        <v>705</v>
      </c>
      <c r="N96" t="s">
        <v>706</v>
      </c>
      <c r="O96" t="s">
        <v>707</v>
      </c>
      <c r="P96" t="str">
        <f t="shared" si="5"/>
        <v>UPDATE CardPool SET cards_Display_Order = 'SET003_095' WHERE CardCode = 'SL3E-083-P';</v>
      </c>
    </row>
    <row r="97" spans="1:16" x14ac:dyDescent="0.25">
      <c r="A97" t="s">
        <v>468</v>
      </c>
      <c r="B97" t="s">
        <v>508</v>
      </c>
      <c r="C97" t="s">
        <v>141</v>
      </c>
      <c r="D97" t="s">
        <v>527</v>
      </c>
      <c r="E97" t="s">
        <v>204</v>
      </c>
      <c r="F97" s="1" t="s">
        <v>205</v>
      </c>
      <c r="G97" s="1" t="s">
        <v>206</v>
      </c>
      <c r="H97" s="1" t="s">
        <v>359</v>
      </c>
      <c r="I97" t="str">
        <f t="shared" si="3"/>
        <v>('SL3E-084-P','SL3E','SR-P','BERU'),</v>
      </c>
      <c r="J97" t="s">
        <v>556</v>
      </c>
      <c r="K97" s="2" t="s">
        <v>652</v>
      </c>
      <c r="L97" s="3" t="str">
        <f t="shared" si="4"/>
        <v>SET003_096</v>
      </c>
      <c r="M97" t="s">
        <v>705</v>
      </c>
      <c r="N97" t="s">
        <v>706</v>
      </c>
      <c r="O97" t="s">
        <v>707</v>
      </c>
      <c r="P97" t="str">
        <f t="shared" si="5"/>
        <v>UPDATE CardPool SET cards_Display_Order = 'SET003_096' WHERE CardCode = 'SL3E-084-P';</v>
      </c>
    </row>
    <row r="98" spans="1:16" x14ac:dyDescent="0.25">
      <c r="A98" t="s">
        <v>469</v>
      </c>
      <c r="B98" t="s">
        <v>508</v>
      </c>
      <c r="C98" t="s">
        <v>141</v>
      </c>
      <c r="D98" t="s">
        <v>526</v>
      </c>
      <c r="E98" t="s">
        <v>204</v>
      </c>
      <c r="F98" s="1" t="s">
        <v>205</v>
      </c>
      <c r="G98" s="1" t="s">
        <v>206</v>
      </c>
      <c r="H98" s="1" t="s">
        <v>359</v>
      </c>
      <c r="I98" t="str">
        <f t="shared" si="3"/>
        <v>('SL3E-085-P','SL3E','SR-P','KAISEL'),</v>
      </c>
      <c r="J98" t="s">
        <v>556</v>
      </c>
      <c r="K98" s="2" t="s">
        <v>653</v>
      </c>
      <c r="L98" s="3" t="str">
        <f t="shared" si="4"/>
        <v>SET003_097</v>
      </c>
      <c r="M98" t="s">
        <v>705</v>
      </c>
      <c r="N98" t="s">
        <v>706</v>
      </c>
      <c r="O98" t="s">
        <v>707</v>
      </c>
      <c r="P98" t="str">
        <f t="shared" si="5"/>
        <v>UPDATE CardPool SET cards_Display_Order = 'SET003_097' WHERE CardCode = 'SL3E-085-P';</v>
      </c>
    </row>
    <row r="99" spans="1:16" x14ac:dyDescent="0.25">
      <c r="A99" t="s">
        <v>470</v>
      </c>
      <c r="B99" t="s">
        <v>508</v>
      </c>
      <c r="C99" t="s">
        <v>142</v>
      </c>
      <c r="D99" t="s">
        <v>155</v>
      </c>
      <c r="E99" t="s">
        <v>204</v>
      </c>
      <c r="F99" s="1" t="s">
        <v>205</v>
      </c>
      <c r="G99" s="1" t="s">
        <v>206</v>
      </c>
      <c r="H99" s="1" t="s">
        <v>359</v>
      </c>
      <c r="I99" t="str">
        <f t="shared" si="3"/>
        <v>('SL3E-086','SL3E','UR','SUNG JINWOO'),</v>
      </c>
      <c r="J99" t="s">
        <v>556</v>
      </c>
      <c r="K99" s="2" t="s">
        <v>654</v>
      </c>
      <c r="L99" s="3" t="str">
        <f t="shared" si="4"/>
        <v>SET003_098</v>
      </c>
      <c r="M99" t="s">
        <v>705</v>
      </c>
      <c r="N99" t="s">
        <v>706</v>
      </c>
      <c r="O99" t="s">
        <v>707</v>
      </c>
      <c r="P99" t="str">
        <f t="shared" si="5"/>
        <v>UPDATE CardPool SET cards_Display_Order = 'SET003_098' WHERE CardCode = 'SL3E-086';</v>
      </c>
    </row>
    <row r="100" spans="1:16" x14ac:dyDescent="0.25">
      <c r="A100" t="s">
        <v>471</v>
      </c>
      <c r="B100" t="s">
        <v>508</v>
      </c>
      <c r="C100" t="s">
        <v>142</v>
      </c>
      <c r="D100" t="s">
        <v>159</v>
      </c>
      <c r="E100" t="s">
        <v>204</v>
      </c>
      <c r="F100" s="1" t="s">
        <v>205</v>
      </c>
      <c r="G100" s="1" t="s">
        <v>206</v>
      </c>
      <c r="H100" s="1" t="s">
        <v>359</v>
      </c>
      <c r="I100" t="str">
        <f t="shared" si="3"/>
        <v>('SL3E-087','SL3E','UR','CHA HAE-IN'),</v>
      </c>
      <c r="J100" t="s">
        <v>556</v>
      </c>
      <c r="K100" s="2" t="s">
        <v>655</v>
      </c>
      <c r="L100" s="3" t="str">
        <f t="shared" si="4"/>
        <v>SET003_099</v>
      </c>
      <c r="M100" t="s">
        <v>705</v>
      </c>
      <c r="N100" t="s">
        <v>706</v>
      </c>
      <c r="O100" t="s">
        <v>707</v>
      </c>
      <c r="P100" t="str">
        <f t="shared" si="5"/>
        <v>UPDATE CardPool SET cards_Display_Order = 'SET003_099' WHERE CardCode = 'SL3E-087';</v>
      </c>
    </row>
    <row r="101" spans="1:16" x14ac:dyDescent="0.25">
      <c r="A101" t="s">
        <v>472</v>
      </c>
      <c r="B101" t="s">
        <v>508</v>
      </c>
      <c r="C101" t="s">
        <v>142</v>
      </c>
      <c r="D101" t="s">
        <v>157</v>
      </c>
      <c r="E101" t="s">
        <v>204</v>
      </c>
      <c r="F101" s="1" t="s">
        <v>205</v>
      </c>
      <c r="G101" s="1" t="s">
        <v>206</v>
      </c>
      <c r="H101" s="1" t="s">
        <v>359</v>
      </c>
      <c r="I101" t="str">
        <f t="shared" si="3"/>
        <v>('SL3E-088','SL3E','UR','BAEK YOONHO'),</v>
      </c>
      <c r="J101" t="s">
        <v>556</v>
      </c>
      <c r="K101" s="2" t="s">
        <v>656</v>
      </c>
      <c r="L101" s="3" t="str">
        <f t="shared" si="4"/>
        <v>SET003_100</v>
      </c>
      <c r="M101" t="s">
        <v>705</v>
      </c>
      <c r="N101" t="s">
        <v>706</v>
      </c>
      <c r="O101" t="s">
        <v>707</v>
      </c>
      <c r="P101" t="str">
        <f t="shared" si="5"/>
        <v>UPDATE CardPool SET cards_Display_Order = 'SET003_100' WHERE CardCode = 'SL3E-088';</v>
      </c>
    </row>
    <row r="102" spans="1:16" x14ac:dyDescent="0.25">
      <c r="A102" t="s">
        <v>473</v>
      </c>
      <c r="B102" t="s">
        <v>508</v>
      </c>
      <c r="C102" t="s">
        <v>142</v>
      </c>
      <c r="D102" t="s">
        <v>158</v>
      </c>
      <c r="E102" t="s">
        <v>204</v>
      </c>
      <c r="F102" s="1" t="s">
        <v>205</v>
      </c>
      <c r="G102" s="1" t="s">
        <v>206</v>
      </c>
      <c r="H102" s="1" t="s">
        <v>359</v>
      </c>
      <c r="I102" t="str">
        <f t="shared" si="3"/>
        <v>('SL3E-089','SL3E','UR','CHOI JONG-IN'),</v>
      </c>
      <c r="J102" t="s">
        <v>556</v>
      </c>
      <c r="K102" s="2" t="s">
        <v>657</v>
      </c>
      <c r="L102" s="3" t="str">
        <f t="shared" si="4"/>
        <v>SET003_101</v>
      </c>
      <c r="M102" t="s">
        <v>705</v>
      </c>
      <c r="N102" t="s">
        <v>706</v>
      </c>
      <c r="O102" t="s">
        <v>707</v>
      </c>
      <c r="P102" t="str">
        <f t="shared" si="5"/>
        <v>UPDATE CardPool SET cards_Display_Order = 'SET003_101' WHERE CardCode = 'SL3E-089';</v>
      </c>
    </row>
    <row r="103" spans="1:16" x14ac:dyDescent="0.25">
      <c r="A103" t="s">
        <v>474</v>
      </c>
      <c r="B103" t="s">
        <v>508</v>
      </c>
      <c r="C103" t="s">
        <v>142</v>
      </c>
      <c r="D103" t="s">
        <v>533</v>
      </c>
      <c r="E103" t="s">
        <v>204</v>
      </c>
      <c r="F103" s="1" t="s">
        <v>205</v>
      </c>
      <c r="G103" s="1" t="s">
        <v>206</v>
      </c>
      <c r="H103" s="1" t="s">
        <v>359</v>
      </c>
      <c r="I103" t="str">
        <f t="shared" si="3"/>
        <v>('SL3E-090','SL3E','UR','ANT KING'),</v>
      </c>
      <c r="J103" t="s">
        <v>556</v>
      </c>
      <c r="K103" s="2" t="s">
        <v>658</v>
      </c>
      <c r="L103" s="3" t="str">
        <f t="shared" si="4"/>
        <v>SET003_102</v>
      </c>
      <c r="M103" t="s">
        <v>705</v>
      </c>
      <c r="N103" t="s">
        <v>706</v>
      </c>
      <c r="O103" t="s">
        <v>707</v>
      </c>
      <c r="P103" t="str">
        <f t="shared" si="5"/>
        <v>UPDATE CardPool SET cards_Display_Order = 'SET003_102' WHERE CardCode = 'SL3E-090';</v>
      </c>
    </row>
    <row r="104" spans="1:16" x14ac:dyDescent="0.25">
      <c r="A104" t="s">
        <v>475</v>
      </c>
      <c r="B104" t="s">
        <v>508</v>
      </c>
      <c r="C104" t="s">
        <v>142</v>
      </c>
      <c r="D104" t="s">
        <v>526</v>
      </c>
      <c r="E104" t="s">
        <v>204</v>
      </c>
      <c r="F104" s="1" t="s">
        <v>205</v>
      </c>
      <c r="G104" s="1" t="s">
        <v>206</v>
      </c>
      <c r="H104" s="1" t="s">
        <v>359</v>
      </c>
      <c r="I104" t="str">
        <f t="shared" si="3"/>
        <v>('SL3E-091','SL3E','UR','KAISEL'),</v>
      </c>
      <c r="J104" t="s">
        <v>556</v>
      </c>
      <c r="K104" s="2" t="s">
        <v>659</v>
      </c>
      <c r="L104" s="3" t="str">
        <f t="shared" si="4"/>
        <v>SET003_103</v>
      </c>
      <c r="M104" t="s">
        <v>705</v>
      </c>
      <c r="N104" t="s">
        <v>706</v>
      </c>
      <c r="O104" t="s">
        <v>707</v>
      </c>
      <c r="P104" t="str">
        <f t="shared" si="5"/>
        <v>UPDATE CardPool SET cards_Display_Order = 'SET003_103' WHERE CardCode = 'SL3E-091';</v>
      </c>
    </row>
    <row r="105" spans="1:16" x14ac:dyDescent="0.25">
      <c r="A105" t="s">
        <v>476</v>
      </c>
      <c r="B105" t="s">
        <v>508</v>
      </c>
      <c r="C105" t="s">
        <v>142</v>
      </c>
      <c r="D105" t="s">
        <v>185</v>
      </c>
      <c r="E105" t="s">
        <v>204</v>
      </c>
      <c r="F105" s="1" t="s">
        <v>205</v>
      </c>
      <c r="G105" s="1" t="s">
        <v>206</v>
      </c>
      <c r="H105" s="1" t="s">
        <v>359</v>
      </c>
      <c r="I105" t="str">
        <f t="shared" si="3"/>
        <v>('SL3E-092','SL3E','UR','IGRIS'),</v>
      </c>
      <c r="J105" t="s">
        <v>556</v>
      </c>
      <c r="K105" s="2" t="s">
        <v>660</v>
      </c>
      <c r="L105" s="3" t="str">
        <f t="shared" si="4"/>
        <v>SET003_104</v>
      </c>
      <c r="M105" t="s">
        <v>705</v>
      </c>
      <c r="N105" t="s">
        <v>706</v>
      </c>
      <c r="O105" t="s">
        <v>707</v>
      </c>
      <c r="P105" t="str">
        <f t="shared" si="5"/>
        <v>UPDATE CardPool SET cards_Display_Order = 'SET003_104' WHERE CardCode = 'SL3E-092';</v>
      </c>
    </row>
    <row r="106" spans="1:16" x14ac:dyDescent="0.25">
      <c r="A106" t="s">
        <v>477</v>
      </c>
      <c r="B106" t="s">
        <v>508</v>
      </c>
      <c r="C106" t="s">
        <v>143</v>
      </c>
      <c r="D106" t="s">
        <v>155</v>
      </c>
      <c r="E106" t="s">
        <v>204</v>
      </c>
      <c r="F106" s="1" t="s">
        <v>205</v>
      </c>
      <c r="G106" s="1" t="s">
        <v>206</v>
      </c>
      <c r="H106" s="1" t="s">
        <v>359</v>
      </c>
      <c r="I106" t="str">
        <f t="shared" si="3"/>
        <v>('SL3E-086-P','SL3E','UR-P','SUNG JINWOO'),</v>
      </c>
      <c r="J106" t="s">
        <v>556</v>
      </c>
      <c r="K106" s="2" t="s">
        <v>661</v>
      </c>
      <c r="L106" s="3" t="str">
        <f t="shared" si="4"/>
        <v>SET003_105</v>
      </c>
      <c r="M106" t="s">
        <v>705</v>
      </c>
      <c r="N106" t="s">
        <v>706</v>
      </c>
      <c r="O106" t="s">
        <v>707</v>
      </c>
      <c r="P106" t="str">
        <f t="shared" si="5"/>
        <v>UPDATE CardPool SET cards_Display_Order = 'SET003_105' WHERE CardCode = 'SL3E-086-P';</v>
      </c>
    </row>
    <row r="107" spans="1:16" x14ac:dyDescent="0.25">
      <c r="A107" t="s">
        <v>478</v>
      </c>
      <c r="B107" t="s">
        <v>508</v>
      </c>
      <c r="C107" t="s">
        <v>143</v>
      </c>
      <c r="D107" t="s">
        <v>159</v>
      </c>
      <c r="E107" t="s">
        <v>204</v>
      </c>
      <c r="F107" s="1" t="s">
        <v>205</v>
      </c>
      <c r="G107" s="1" t="s">
        <v>206</v>
      </c>
      <c r="H107" s="1" t="s">
        <v>359</v>
      </c>
      <c r="I107" t="str">
        <f t="shared" si="3"/>
        <v>('SL3E-087-P','SL3E','UR-P','CHA HAE-IN'),</v>
      </c>
      <c r="J107" t="s">
        <v>556</v>
      </c>
      <c r="K107" s="2" t="s">
        <v>662</v>
      </c>
      <c r="L107" s="3" t="str">
        <f t="shared" si="4"/>
        <v>SET003_106</v>
      </c>
      <c r="M107" t="s">
        <v>705</v>
      </c>
      <c r="N107" t="s">
        <v>706</v>
      </c>
      <c r="O107" t="s">
        <v>707</v>
      </c>
      <c r="P107" t="str">
        <f t="shared" si="5"/>
        <v>UPDATE CardPool SET cards_Display_Order = 'SET003_106' WHERE CardCode = 'SL3E-087-P';</v>
      </c>
    </row>
    <row r="108" spans="1:16" x14ac:dyDescent="0.25">
      <c r="A108" t="s">
        <v>479</v>
      </c>
      <c r="B108" t="s">
        <v>508</v>
      </c>
      <c r="C108" t="s">
        <v>143</v>
      </c>
      <c r="D108" t="s">
        <v>157</v>
      </c>
      <c r="E108" t="s">
        <v>204</v>
      </c>
      <c r="F108" s="1" t="s">
        <v>205</v>
      </c>
      <c r="G108" s="1" t="s">
        <v>206</v>
      </c>
      <c r="H108" s="1" t="s">
        <v>359</v>
      </c>
      <c r="I108" t="str">
        <f t="shared" si="3"/>
        <v>('SL3E-088-P','SL3E','UR-P','BAEK YOONHO'),</v>
      </c>
      <c r="J108" t="s">
        <v>556</v>
      </c>
      <c r="K108" s="2" t="s">
        <v>663</v>
      </c>
      <c r="L108" s="3" t="str">
        <f t="shared" si="4"/>
        <v>SET003_107</v>
      </c>
      <c r="M108" t="s">
        <v>705</v>
      </c>
      <c r="N108" t="s">
        <v>706</v>
      </c>
      <c r="O108" t="s">
        <v>707</v>
      </c>
      <c r="P108" t="str">
        <f t="shared" si="5"/>
        <v>UPDATE CardPool SET cards_Display_Order = 'SET003_107' WHERE CardCode = 'SL3E-088-P';</v>
      </c>
    </row>
    <row r="109" spans="1:16" x14ac:dyDescent="0.25">
      <c r="A109" t="s">
        <v>480</v>
      </c>
      <c r="B109" t="s">
        <v>508</v>
      </c>
      <c r="C109" t="s">
        <v>143</v>
      </c>
      <c r="D109" t="s">
        <v>158</v>
      </c>
      <c r="E109" t="s">
        <v>204</v>
      </c>
      <c r="F109" s="1" t="s">
        <v>205</v>
      </c>
      <c r="G109" s="1" t="s">
        <v>206</v>
      </c>
      <c r="H109" s="1" t="s">
        <v>359</v>
      </c>
      <c r="I109" t="str">
        <f t="shared" si="3"/>
        <v>('SL3E-089-P','SL3E','UR-P','CHOI JONG-IN'),</v>
      </c>
      <c r="J109" t="s">
        <v>556</v>
      </c>
      <c r="K109" s="2" t="s">
        <v>664</v>
      </c>
      <c r="L109" s="3" t="str">
        <f t="shared" si="4"/>
        <v>SET003_108</v>
      </c>
      <c r="M109" t="s">
        <v>705</v>
      </c>
      <c r="N109" t="s">
        <v>706</v>
      </c>
      <c r="O109" t="s">
        <v>707</v>
      </c>
      <c r="P109" t="str">
        <f t="shared" si="5"/>
        <v>UPDATE CardPool SET cards_Display_Order = 'SET003_108' WHERE CardCode = 'SL3E-089-P';</v>
      </c>
    </row>
    <row r="110" spans="1:16" x14ac:dyDescent="0.25">
      <c r="A110" t="s">
        <v>481</v>
      </c>
      <c r="B110" t="s">
        <v>508</v>
      </c>
      <c r="C110" t="s">
        <v>143</v>
      </c>
      <c r="D110" t="s">
        <v>533</v>
      </c>
      <c r="E110" t="s">
        <v>204</v>
      </c>
      <c r="F110" s="1" t="s">
        <v>205</v>
      </c>
      <c r="G110" s="1" t="s">
        <v>206</v>
      </c>
      <c r="H110" s="1" t="s">
        <v>359</v>
      </c>
      <c r="I110" t="str">
        <f t="shared" si="3"/>
        <v>('SL3E-090-P','SL3E','UR-P','ANT KING'),</v>
      </c>
      <c r="J110" t="s">
        <v>556</v>
      </c>
      <c r="K110" s="2" t="s">
        <v>665</v>
      </c>
      <c r="L110" s="3" t="str">
        <f t="shared" si="4"/>
        <v>SET003_109</v>
      </c>
      <c r="M110" t="s">
        <v>705</v>
      </c>
      <c r="N110" t="s">
        <v>706</v>
      </c>
      <c r="O110" t="s">
        <v>707</v>
      </c>
      <c r="P110" t="str">
        <f t="shared" si="5"/>
        <v>UPDATE CardPool SET cards_Display_Order = 'SET003_109' WHERE CardCode = 'SL3E-090-P';</v>
      </c>
    </row>
    <row r="111" spans="1:16" x14ac:dyDescent="0.25">
      <c r="A111" t="s">
        <v>482</v>
      </c>
      <c r="B111" t="s">
        <v>508</v>
      </c>
      <c r="C111" t="s">
        <v>143</v>
      </c>
      <c r="D111" t="s">
        <v>526</v>
      </c>
      <c r="E111" t="s">
        <v>204</v>
      </c>
      <c r="F111" s="1" t="s">
        <v>205</v>
      </c>
      <c r="G111" s="1" t="s">
        <v>206</v>
      </c>
      <c r="H111" s="1" t="s">
        <v>359</v>
      </c>
      <c r="I111" t="str">
        <f t="shared" si="3"/>
        <v>('SL3E-091-P','SL3E','UR-P','KAISEL'),</v>
      </c>
      <c r="J111" t="s">
        <v>556</v>
      </c>
      <c r="K111" s="2" t="s">
        <v>666</v>
      </c>
      <c r="L111" s="3" t="str">
        <f t="shared" si="4"/>
        <v>SET003_110</v>
      </c>
      <c r="M111" t="s">
        <v>705</v>
      </c>
      <c r="N111" t="s">
        <v>706</v>
      </c>
      <c r="O111" t="s">
        <v>707</v>
      </c>
      <c r="P111" t="str">
        <f t="shared" si="5"/>
        <v>UPDATE CardPool SET cards_Display_Order = 'SET003_110' WHERE CardCode = 'SL3E-091-P';</v>
      </c>
    </row>
    <row r="112" spans="1:16" x14ac:dyDescent="0.25">
      <c r="A112" t="s">
        <v>483</v>
      </c>
      <c r="B112" t="s">
        <v>508</v>
      </c>
      <c r="C112" t="s">
        <v>143</v>
      </c>
      <c r="D112" t="s">
        <v>185</v>
      </c>
      <c r="E112" t="s">
        <v>204</v>
      </c>
      <c r="F112" s="1" t="s">
        <v>205</v>
      </c>
      <c r="G112" s="1" t="s">
        <v>206</v>
      </c>
      <c r="H112" s="1" t="s">
        <v>359</v>
      </c>
      <c r="I112" t="str">
        <f t="shared" si="3"/>
        <v>('SL3E-092-P','SL3E','UR-P','IGRIS'),</v>
      </c>
      <c r="J112" t="s">
        <v>556</v>
      </c>
      <c r="K112" s="2" t="s">
        <v>667</v>
      </c>
      <c r="L112" s="3" t="str">
        <f t="shared" si="4"/>
        <v>SET003_111</v>
      </c>
      <c r="M112" t="s">
        <v>705</v>
      </c>
      <c r="N112" t="s">
        <v>706</v>
      </c>
      <c r="O112" t="s">
        <v>707</v>
      </c>
      <c r="P112" t="str">
        <f t="shared" si="5"/>
        <v>UPDATE CardPool SET cards_Display_Order = 'SET003_111' WHERE CardCode = 'SL3E-092-P';</v>
      </c>
    </row>
    <row r="113" spans="1:16" x14ac:dyDescent="0.25">
      <c r="A113" t="s">
        <v>484</v>
      </c>
      <c r="B113" t="s">
        <v>508</v>
      </c>
      <c r="C113" t="s">
        <v>144</v>
      </c>
      <c r="D113" t="s">
        <v>155</v>
      </c>
      <c r="E113" t="s">
        <v>204</v>
      </c>
      <c r="F113" s="1" t="s">
        <v>205</v>
      </c>
      <c r="G113" s="1" t="s">
        <v>206</v>
      </c>
      <c r="H113" s="1" t="s">
        <v>359</v>
      </c>
      <c r="I113" t="str">
        <f t="shared" si="3"/>
        <v>('SL3E-093','SL3E','HR','SUNG JINWOO'),</v>
      </c>
      <c r="J113" t="s">
        <v>556</v>
      </c>
      <c r="K113" s="2" t="s">
        <v>668</v>
      </c>
      <c r="L113" s="3" t="str">
        <f t="shared" si="4"/>
        <v>SET003_112</v>
      </c>
      <c r="M113" t="s">
        <v>705</v>
      </c>
      <c r="N113" t="s">
        <v>706</v>
      </c>
      <c r="O113" t="s">
        <v>707</v>
      </c>
      <c r="P113" t="str">
        <f t="shared" si="5"/>
        <v>UPDATE CardPool SET cards_Display_Order = 'SET003_112' WHERE CardCode = 'SL3E-093';</v>
      </c>
    </row>
    <row r="114" spans="1:16" x14ac:dyDescent="0.25">
      <c r="A114" t="s">
        <v>485</v>
      </c>
      <c r="B114" t="s">
        <v>508</v>
      </c>
      <c r="C114" t="s">
        <v>144</v>
      </c>
      <c r="D114" t="s">
        <v>540</v>
      </c>
      <c r="E114" t="s">
        <v>204</v>
      </c>
      <c r="F114" s="1" t="s">
        <v>205</v>
      </c>
      <c r="G114" s="1" t="s">
        <v>206</v>
      </c>
      <c r="H114" s="1" t="s">
        <v>359</v>
      </c>
      <c r="I114" t="str">
        <f t="shared" si="3"/>
        <v>('SL3E-094','SL3E','HR','ANT KING/BERU'),</v>
      </c>
      <c r="J114" t="s">
        <v>556</v>
      </c>
      <c r="K114" s="2" t="s">
        <v>669</v>
      </c>
      <c r="L114" s="3" t="str">
        <f t="shared" si="4"/>
        <v>SET003_113</v>
      </c>
      <c r="M114" t="s">
        <v>705</v>
      </c>
      <c r="N114" t="s">
        <v>706</v>
      </c>
      <c r="O114" t="s">
        <v>707</v>
      </c>
      <c r="P114" t="str">
        <f t="shared" si="5"/>
        <v>UPDATE CardPool SET cards_Display_Order = 'SET003_113' WHERE CardCode = 'SL3E-094';</v>
      </c>
    </row>
    <row r="115" spans="1:16" x14ac:dyDescent="0.25">
      <c r="A115" t="s">
        <v>486</v>
      </c>
      <c r="B115" t="s">
        <v>508</v>
      </c>
      <c r="C115" t="s">
        <v>144</v>
      </c>
      <c r="D115" t="s">
        <v>201</v>
      </c>
      <c r="E115" t="s">
        <v>204</v>
      </c>
      <c r="F115" s="1" t="s">
        <v>205</v>
      </c>
      <c r="G115" s="1" t="s">
        <v>206</v>
      </c>
      <c r="H115" s="1" t="s">
        <v>359</v>
      </c>
      <c r="I115" t="str">
        <f t="shared" si="3"/>
        <v>('SL3E-095','SL3E','HR','THE SHADOW ARMY'),</v>
      </c>
      <c r="J115" t="s">
        <v>556</v>
      </c>
      <c r="K115" s="2" t="s">
        <v>670</v>
      </c>
      <c r="L115" s="3" t="str">
        <f t="shared" si="4"/>
        <v>SET003_114</v>
      </c>
      <c r="M115" t="s">
        <v>705</v>
      </c>
      <c r="N115" t="s">
        <v>706</v>
      </c>
      <c r="O115" t="s">
        <v>707</v>
      </c>
      <c r="P115" t="str">
        <f t="shared" si="5"/>
        <v>UPDATE CardPool SET cards_Display_Order = 'SET003_114' WHERE CardCode = 'SL3E-095';</v>
      </c>
    </row>
    <row r="116" spans="1:16" x14ac:dyDescent="0.25">
      <c r="A116" t="s">
        <v>487</v>
      </c>
      <c r="B116" t="s">
        <v>508</v>
      </c>
      <c r="C116" t="s">
        <v>145</v>
      </c>
      <c r="D116" t="s">
        <v>155</v>
      </c>
      <c r="E116" t="s">
        <v>204</v>
      </c>
      <c r="F116" s="1" t="s">
        <v>205</v>
      </c>
      <c r="G116" s="1" t="s">
        <v>206</v>
      </c>
      <c r="H116" s="1" t="s">
        <v>359</v>
      </c>
      <c r="I116" t="str">
        <f t="shared" si="3"/>
        <v>('SL3E-093-P','SL3E','HR-P','SUNG JINWOO'),</v>
      </c>
      <c r="J116" t="s">
        <v>556</v>
      </c>
      <c r="K116" s="2" t="s">
        <v>671</v>
      </c>
      <c r="L116" s="3" t="str">
        <f t="shared" si="4"/>
        <v>SET003_115</v>
      </c>
      <c r="M116" t="s">
        <v>705</v>
      </c>
      <c r="N116" t="s">
        <v>706</v>
      </c>
      <c r="O116" t="s">
        <v>707</v>
      </c>
      <c r="P116" t="str">
        <f t="shared" si="5"/>
        <v>UPDATE CardPool SET cards_Display_Order = 'SET003_115' WHERE CardCode = 'SL3E-093-P';</v>
      </c>
    </row>
    <row r="117" spans="1:16" x14ac:dyDescent="0.25">
      <c r="A117" t="s">
        <v>488</v>
      </c>
      <c r="B117" t="s">
        <v>508</v>
      </c>
      <c r="C117" t="s">
        <v>145</v>
      </c>
      <c r="D117" t="s">
        <v>540</v>
      </c>
      <c r="E117" t="s">
        <v>204</v>
      </c>
      <c r="F117" s="1" t="s">
        <v>205</v>
      </c>
      <c r="G117" s="1" t="s">
        <v>206</v>
      </c>
      <c r="H117" s="1" t="s">
        <v>359</v>
      </c>
      <c r="I117" t="str">
        <f t="shared" si="3"/>
        <v>('SL3E-094-P','SL3E','HR-P','ANT KING/BERU'),</v>
      </c>
      <c r="J117" t="s">
        <v>556</v>
      </c>
      <c r="K117" s="2" t="s">
        <v>672</v>
      </c>
      <c r="L117" s="3" t="str">
        <f t="shared" si="4"/>
        <v>SET003_116</v>
      </c>
      <c r="M117" t="s">
        <v>705</v>
      </c>
      <c r="N117" t="s">
        <v>706</v>
      </c>
      <c r="O117" t="s">
        <v>707</v>
      </c>
      <c r="P117" t="str">
        <f t="shared" si="5"/>
        <v>UPDATE CardPool SET cards_Display_Order = 'SET003_116' WHERE CardCode = 'SL3E-094-P';</v>
      </c>
    </row>
    <row r="118" spans="1:16" x14ac:dyDescent="0.25">
      <c r="A118" t="s">
        <v>489</v>
      </c>
      <c r="B118" t="s">
        <v>508</v>
      </c>
      <c r="C118" t="s">
        <v>145</v>
      </c>
      <c r="D118" t="s">
        <v>201</v>
      </c>
      <c r="E118" t="s">
        <v>204</v>
      </c>
      <c r="F118" s="1" t="s">
        <v>205</v>
      </c>
      <c r="G118" s="1" t="s">
        <v>206</v>
      </c>
      <c r="H118" s="1" t="s">
        <v>359</v>
      </c>
      <c r="I118" t="str">
        <f t="shared" si="3"/>
        <v>('SL3E-095-P','SL3E','HR-P','THE SHADOW ARMY'),</v>
      </c>
      <c r="J118" t="s">
        <v>556</v>
      </c>
      <c r="K118" s="2" t="s">
        <v>673</v>
      </c>
      <c r="L118" s="3" t="str">
        <f t="shared" si="4"/>
        <v>SET003_117</v>
      </c>
      <c r="M118" t="s">
        <v>705</v>
      </c>
      <c r="N118" t="s">
        <v>706</v>
      </c>
      <c r="O118" t="s">
        <v>707</v>
      </c>
      <c r="P118" t="str">
        <f t="shared" si="5"/>
        <v>UPDATE CardPool SET cards_Display_Order = 'SET003_117' WHERE CardCode = 'SL3E-095-P';</v>
      </c>
    </row>
    <row r="119" spans="1:16" x14ac:dyDescent="0.25">
      <c r="A119" t="s">
        <v>490</v>
      </c>
      <c r="B119" t="s">
        <v>508</v>
      </c>
      <c r="C119" t="s">
        <v>146</v>
      </c>
      <c r="D119" t="s">
        <v>155</v>
      </c>
      <c r="E119" t="s">
        <v>204</v>
      </c>
      <c r="F119" s="1" t="s">
        <v>205</v>
      </c>
      <c r="G119" s="1" t="s">
        <v>206</v>
      </c>
      <c r="H119" s="1" t="s">
        <v>359</v>
      </c>
      <c r="I119" t="str">
        <f t="shared" si="3"/>
        <v>('SL3E-093-SP','SL3E','HR-SP','SUNG JINWOO'),</v>
      </c>
      <c r="J119" t="s">
        <v>556</v>
      </c>
      <c r="K119" s="2" t="s">
        <v>674</v>
      </c>
      <c r="L119" s="3" t="str">
        <f t="shared" si="4"/>
        <v>SET003_118</v>
      </c>
      <c r="M119" t="s">
        <v>705</v>
      </c>
      <c r="N119" t="s">
        <v>706</v>
      </c>
      <c r="O119" t="s">
        <v>707</v>
      </c>
      <c r="P119" t="str">
        <f t="shared" si="5"/>
        <v>UPDATE CardPool SET cards_Display_Order = 'SET003_118' WHERE CardCode = 'SL3E-093-SP';</v>
      </c>
    </row>
    <row r="120" spans="1:16" x14ac:dyDescent="0.25">
      <c r="A120" t="s">
        <v>491</v>
      </c>
      <c r="B120" t="s">
        <v>508</v>
      </c>
      <c r="C120" t="s">
        <v>146</v>
      </c>
      <c r="D120" t="s">
        <v>540</v>
      </c>
      <c r="E120" t="s">
        <v>204</v>
      </c>
      <c r="F120" s="1" t="s">
        <v>205</v>
      </c>
      <c r="G120" s="1" t="s">
        <v>206</v>
      </c>
      <c r="H120" s="1" t="s">
        <v>359</v>
      </c>
      <c r="I120" t="str">
        <f t="shared" si="3"/>
        <v>('SL3E-094-SP','SL3E','HR-SP','ANT KING/BERU'),</v>
      </c>
      <c r="J120" t="s">
        <v>556</v>
      </c>
      <c r="K120" s="2" t="s">
        <v>675</v>
      </c>
      <c r="L120" s="3" t="str">
        <f t="shared" si="4"/>
        <v>SET003_119</v>
      </c>
      <c r="M120" t="s">
        <v>705</v>
      </c>
      <c r="N120" t="s">
        <v>706</v>
      </c>
      <c r="O120" t="s">
        <v>707</v>
      </c>
      <c r="P120" t="str">
        <f t="shared" si="5"/>
        <v>UPDATE CardPool SET cards_Display_Order = 'SET003_119' WHERE CardCode = 'SL3E-094-SP';</v>
      </c>
    </row>
    <row r="121" spans="1:16" x14ac:dyDescent="0.25">
      <c r="A121" t="s">
        <v>492</v>
      </c>
      <c r="B121" t="s">
        <v>508</v>
      </c>
      <c r="C121" t="s">
        <v>146</v>
      </c>
      <c r="D121" t="s">
        <v>201</v>
      </c>
      <c r="E121" t="s">
        <v>204</v>
      </c>
      <c r="F121" s="1" t="s">
        <v>205</v>
      </c>
      <c r="G121" s="1" t="s">
        <v>206</v>
      </c>
      <c r="H121" s="1" t="s">
        <v>359</v>
      </c>
      <c r="I121" t="str">
        <f t="shared" si="3"/>
        <v>('SL3E-095-SP','SL3E','HR-SP','THE SHADOW ARMY'),</v>
      </c>
      <c r="J121" t="s">
        <v>556</v>
      </c>
      <c r="K121" s="2" t="s">
        <v>676</v>
      </c>
      <c r="L121" s="3" t="str">
        <f t="shared" si="4"/>
        <v>SET003_120</v>
      </c>
      <c r="M121" t="s">
        <v>705</v>
      </c>
      <c r="N121" t="s">
        <v>706</v>
      </c>
      <c r="O121" t="s">
        <v>707</v>
      </c>
      <c r="P121" t="str">
        <f t="shared" si="5"/>
        <v>UPDATE CardPool SET cards_Display_Order = 'SET003_120' WHERE CardCode = 'SL3E-095-SP';</v>
      </c>
    </row>
    <row r="122" spans="1:16" x14ac:dyDescent="0.25">
      <c r="A122" t="s">
        <v>493</v>
      </c>
      <c r="B122" t="s">
        <v>508</v>
      </c>
      <c r="C122" t="s">
        <v>147</v>
      </c>
      <c r="D122" t="s">
        <v>541</v>
      </c>
      <c r="E122" t="s">
        <v>204</v>
      </c>
      <c r="F122" s="1" t="s">
        <v>205</v>
      </c>
      <c r="G122" s="1" t="s">
        <v>206</v>
      </c>
      <c r="H122" s="1" t="s">
        <v>359</v>
      </c>
      <c r="I122" t="str">
        <f t="shared" si="3"/>
        <v>('SL3E-PM 01','SL3E','PM','SUNG JINWOO &amp; ESIL RADIRU'),</v>
      </c>
      <c r="J122" t="s">
        <v>556</v>
      </c>
      <c r="K122" s="2" t="s">
        <v>677</v>
      </c>
      <c r="L122" s="3" t="str">
        <f t="shared" si="4"/>
        <v>SET003_121</v>
      </c>
      <c r="M122" t="s">
        <v>705</v>
      </c>
      <c r="N122" t="s">
        <v>706</v>
      </c>
      <c r="O122" t="s">
        <v>707</v>
      </c>
      <c r="P122" t="str">
        <f t="shared" si="5"/>
        <v>UPDATE CardPool SET cards_Display_Order = 'SET003_121' WHERE CardCode = 'SL3E-PM 01';</v>
      </c>
    </row>
    <row r="123" spans="1:16" x14ac:dyDescent="0.25">
      <c r="A123" t="s">
        <v>494</v>
      </c>
      <c r="B123" t="s">
        <v>508</v>
      </c>
      <c r="C123" t="s">
        <v>147</v>
      </c>
      <c r="D123" t="s">
        <v>542</v>
      </c>
      <c r="E123" t="s">
        <v>204</v>
      </c>
      <c r="F123" s="1" t="s">
        <v>205</v>
      </c>
      <c r="G123" s="1" t="s">
        <v>206</v>
      </c>
      <c r="H123" s="1" t="s">
        <v>359</v>
      </c>
      <c r="I123" t="str">
        <f t="shared" si="3"/>
        <v>('SL3E-PM 02','SL3E','PM','SUNG JINAH &amp; HAN SONG-YI'),</v>
      </c>
      <c r="J123" t="s">
        <v>556</v>
      </c>
      <c r="K123" s="2" t="s">
        <v>678</v>
      </c>
      <c r="L123" s="3" t="str">
        <f t="shared" si="4"/>
        <v>SET003_122</v>
      </c>
      <c r="M123" t="s">
        <v>705</v>
      </c>
      <c r="N123" t="s">
        <v>706</v>
      </c>
      <c r="O123" t="s">
        <v>707</v>
      </c>
      <c r="P123" t="str">
        <f t="shared" si="5"/>
        <v>UPDATE CardPool SET cards_Display_Order = 'SET003_122' WHERE CardCode = 'SL3E-PM 02';</v>
      </c>
    </row>
    <row r="124" spans="1:16" x14ac:dyDescent="0.25">
      <c r="A124" t="s">
        <v>495</v>
      </c>
      <c r="B124" t="s">
        <v>508</v>
      </c>
      <c r="C124" t="s">
        <v>147</v>
      </c>
      <c r="D124" t="s">
        <v>543</v>
      </c>
      <c r="E124" t="s">
        <v>204</v>
      </c>
      <c r="F124" s="1" t="s">
        <v>205</v>
      </c>
      <c r="G124" s="1" t="s">
        <v>206</v>
      </c>
      <c r="H124" s="1" t="s">
        <v>359</v>
      </c>
      <c r="I124" t="str">
        <f t="shared" si="3"/>
        <v>('SL3E-PM 03','SL3E','PM','BAEK YOONHO &amp; MIN BYUNG-GU'),</v>
      </c>
      <c r="J124" t="s">
        <v>556</v>
      </c>
      <c r="K124" s="2" t="s">
        <v>679</v>
      </c>
      <c r="L124" s="3" t="str">
        <f t="shared" si="4"/>
        <v>SET003_123</v>
      </c>
      <c r="M124" t="s">
        <v>705</v>
      </c>
      <c r="N124" t="s">
        <v>706</v>
      </c>
      <c r="O124" t="s">
        <v>707</v>
      </c>
      <c r="P124" t="str">
        <f t="shared" si="5"/>
        <v>UPDATE CardPool SET cards_Display_Order = 'SET003_123' WHERE CardCode = 'SL3E-PM 03';</v>
      </c>
    </row>
    <row r="125" spans="1:16" x14ac:dyDescent="0.25">
      <c r="A125" t="s">
        <v>496</v>
      </c>
      <c r="B125" t="s">
        <v>508</v>
      </c>
      <c r="C125" t="s">
        <v>147</v>
      </c>
      <c r="D125" t="s">
        <v>544</v>
      </c>
      <c r="E125" t="s">
        <v>204</v>
      </c>
      <c r="F125" s="1" t="s">
        <v>205</v>
      </c>
      <c r="G125" s="1" t="s">
        <v>206</v>
      </c>
      <c r="H125" s="1" t="s">
        <v>359</v>
      </c>
      <c r="I125" t="str">
        <f t="shared" si="3"/>
        <v>('SL3E-PM 04','SL3E','PM','GO GUNHEE &amp; WOO JINCHUL       '),</v>
      </c>
      <c r="J125" t="s">
        <v>556</v>
      </c>
      <c r="K125" s="2" t="s">
        <v>680</v>
      </c>
      <c r="L125" s="3" t="str">
        <f t="shared" si="4"/>
        <v>SET003_124</v>
      </c>
      <c r="M125" t="s">
        <v>705</v>
      </c>
      <c r="N125" t="s">
        <v>706</v>
      </c>
      <c r="O125" t="s">
        <v>707</v>
      </c>
      <c r="P125" t="str">
        <f t="shared" si="5"/>
        <v>UPDATE CardPool SET cards_Display_Order = 'SET003_124' WHERE CardCode = 'SL3E-PM 04';</v>
      </c>
    </row>
    <row r="126" spans="1:16" x14ac:dyDescent="0.25">
      <c r="A126" t="s">
        <v>497</v>
      </c>
      <c r="B126" t="s">
        <v>508</v>
      </c>
      <c r="C126" t="s">
        <v>147</v>
      </c>
      <c r="D126" t="s">
        <v>545</v>
      </c>
      <c r="E126" t="s">
        <v>204</v>
      </c>
      <c r="F126" s="1" t="s">
        <v>205</v>
      </c>
      <c r="G126" s="1" t="s">
        <v>206</v>
      </c>
      <c r="H126" s="1" t="s">
        <v>359</v>
      </c>
      <c r="I126" t="str">
        <f t="shared" si="3"/>
        <v>('SL3E-PM 05','SL3E','PM','SUNG JINWOO &amp; SUNG JINAH'),</v>
      </c>
      <c r="J126" t="s">
        <v>556</v>
      </c>
      <c r="K126" s="2" t="s">
        <v>681</v>
      </c>
      <c r="L126" s="3" t="str">
        <f t="shared" si="4"/>
        <v>SET003_125</v>
      </c>
      <c r="M126" t="s">
        <v>705</v>
      </c>
      <c r="N126" t="s">
        <v>706</v>
      </c>
      <c r="O126" t="s">
        <v>707</v>
      </c>
      <c r="P126" t="str">
        <f t="shared" si="5"/>
        <v>UPDATE CardPool SET cards_Display_Order = 'SET003_125' WHERE CardCode = 'SL3E-PM 05';</v>
      </c>
    </row>
    <row r="127" spans="1:16" x14ac:dyDescent="0.25">
      <c r="A127" t="s">
        <v>498</v>
      </c>
      <c r="B127" t="s">
        <v>508</v>
      </c>
      <c r="C127" t="s">
        <v>147</v>
      </c>
      <c r="D127" t="s">
        <v>546</v>
      </c>
      <c r="E127" t="s">
        <v>204</v>
      </c>
      <c r="F127" s="1" t="s">
        <v>205</v>
      </c>
      <c r="G127" s="1" t="s">
        <v>206</v>
      </c>
      <c r="H127" s="1" t="s">
        <v>359</v>
      </c>
      <c r="I127" t="str">
        <f t="shared" si="3"/>
        <v>('SL3E-PM 06','SL3E','PM','BAEK YOONHO &amp; CHOI JONG-IN'),</v>
      </c>
      <c r="J127" t="s">
        <v>556</v>
      </c>
      <c r="K127" s="2" t="s">
        <v>682</v>
      </c>
      <c r="L127" s="3" t="str">
        <f t="shared" si="4"/>
        <v>SET003_126</v>
      </c>
      <c r="M127" t="s">
        <v>705</v>
      </c>
      <c r="N127" t="s">
        <v>706</v>
      </c>
      <c r="O127" t="s">
        <v>707</v>
      </c>
      <c r="P127" t="str">
        <f t="shared" si="5"/>
        <v>UPDATE CardPool SET cards_Display_Order = 'SET003_126' WHERE CardCode = 'SL3E-PM 06';</v>
      </c>
    </row>
    <row r="128" spans="1:16" x14ac:dyDescent="0.25">
      <c r="A128" t="s">
        <v>499</v>
      </c>
      <c r="B128" t="s">
        <v>508</v>
      </c>
      <c r="C128" t="s">
        <v>147</v>
      </c>
      <c r="D128" t="s">
        <v>547</v>
      </c>
      <c r="E128" t="s">
        <v>204</v>
      </c>
      <c r="F128" s="1" t="s">
        <v>205</v>
      </c>
      <c r="G128" s="1" t="s">
        <v>206</v>
      </c>
      <c r="H128" s="1" t="s">
        <v>359</v>
      </c>
      <c r="I128" t="str">
        <f t="shared" si="3"/>
        <v>('SL3E-PM 07','SL3E','PM','SUNG JINWOO &amp; ANT KING '),</v>
      </c>
      <c r="J128" t="s">
        <v>556</v>
      </c>
      <c r="K128" s="2" t="s">
        <v>683</v>
      </c>
      <c r="L128" s="3" t="str">
        <f t="shared" si="4"/>
        <v>SET003_127</v>
      </c>
      <c r="M128" t="s">
        <v>705</v>
      </c>
      <c r="N128" t="s">
        <v>706</v>
      </c>
      <c r="O128" t="s">
        <v>707</v>
      </c>
      <c r="P128" t="str">
        <f t="shared" si="5"/>
        <v>UPDATE CardPool SET cards_Display_Order = 'SET003_127' WHERE CardCode = 'SL3E-PM 07';</v>
      </c>
    </row>
    <row r="129" spans="1:16" x14ac:dyDescent="0.25">
      <c r="A129" t="s">
        <v>500</v>
      </c>
      <c r="B129" t="s">
        <v>508</v>
      </c>
      <c r="C129" t="s">
        <v>150</v>
      </c>
      <c r="D129" t="s">
        <v>541</v>
      </c>
      <c r="E129" t="s">
        <v>204</v>
      </c>
      <c r="F129" s="1" t="s">
        <v>205</v>
      </c>
      <c r="G129" s="1" t="s">
        <v>206</v>
      </c>
      <c r="H129" s="1" t="s">
        <v>359</v>
      </c>
      <c r="I129" t="str">
        <f t="shared" si="3"/>
        <v>('SL3E-PM-P 01','SL3E','PM-P','SUNG JINWOO &amp; ESIL RADIRU'),</v>
      </c>
      <c r="J129" t="s">
        <v>556</v>
      </c>
      <c r="K129" s="2" t="s">
        <v>684</v>
      </c>
      <c r="L129" s="3" t="str">
        <f t="shared" si="4"/>
        <v>SET003_128</v>
      </c>
      <c r="M129" t="s">
        <v>705</v>
      </c>
      <c r="N129" t="s">
        <v>706</v>
      </c>
      <c r="O129" t="s">
        <v>707</v>
      </c>
      <c r="P129" t="str">
        <f t="shared" si="5"/>
        <v>UPDATE CardPool SET cards_Display_Order = 'SET003_128' WHERE CardCode = 'SL3E-PM-P 01';</v>
      </c>
    </row>
    <row r="130" spans="1:16" x14ac:dyDescent="0.25">
      <c r="A130" t="s">
        <v>501</v>
      </c>
      <c r="B130" t="s">
        <v>508</v>
      </c>
      <c r="C130" t="s">
        <v>150</v>
      </c>
      <c r="D130" t="s">
        <v>542</v>
      </c>
      <c r="E130" t="s">
        <v>204</v>
      </c>
      <c r="F130" s="1" t="s">
        <v>205</v>
      </c>
      <c r="G130" s="1" t="s">
        <v>206</v>
      </c>
      <c r="H130" s="1" t="s">
        <v>359</v>
      </c>
      <c r="I130" t="str">
        <f t="shared" si="3"/>
        <v>('SL3E-PM-P 02','SL3E','PM-P','SUNG JINAH &amp; HAN SONG-YI'),</v>
      </c>
      <c r="J130" t="s">
        <v>556</v>
      </c>
      <c r="K130" s="2" t="s">
        <v>685</v>
      </c>
      <c r="L130" s="3" t="str">
        <f t="shared" si="4"/>
        <v>SET003_129</v>
      </c>
      <c r="M130" t="s">
        <v>705</v>
      </c>
      <c r="N130" t="s">
        <v>706</v>
      </c>
      <c r="O130" t="s">
        <v>707</v>
      </c>
      <c r="P130" t="str">
        <f t="shared" si="5"/>
        <v>UPDATE CardPool SET cards_Display_Order = 'SET003_129' WHERE CardCode = 'SL3E-PM-P 02';</v>
      </c>
    </row>
    <row r="131" spans="1:16" x14ac:dyDescent="0.25">
      <c r="A131" t="s">
        <v>502</v>
      </c>
      <c r="B131" t="s">
        <v>508</v>
      </c>
      <c r="C131" t="s">
        <v>150</v>
      </c>
      <c r="D131" t="s">
        <v>543</v>
      </c>
      <c r="E131" t="s">
        <v>204</v>
      </c>
      <c r="F131" s="1" t="s">
        <v>205</v>
      </c>
      <c r="G131" s="1" t="s">
        <v>206</v>
      </c>
      <c r="H131" s="1" t="s">
        <v>359</v>
      </c>
      <c r="I131" t="str">
        <f t="shared" ref="I131:I149" si="6">CONCATENATE(E131,A131,F131,B131,F131,C131,F131,D131,G131,H131)</f>
        <v>('SL3E-PM-P 03','SL3E','PM-P','BAEK YOONHO &amp; MIN BYUNG-GU'),</v>
      </c>
      <c r="J131" t="s">
        <v>556</v>
      </c>
      <c r="K131" s="2" t="s">
        <v>686</v>
      </c>
      <c r="L131" s="3" t="str">
        <f t="shared" ref="L131:L149" si="7">_xlfn.CONCAT(J131,"_",K131)</f>
        <v>SET003_130</v>
      </c>
      <c r="M131" t="s">
        <v>705</v>
      </c>
      <c r="N131" t="s">
        <v>706</v>
      </c>
      <c r="O131" t="s">
        <v>707</v>
      </c>
      <c r="P131" t="str">
        <f t="shared" ref="P131:P149" si="8">_xlfn.CONCAT(M131,L131,N131,A131,O131)</f>
        <v>UPDATE CardPool SET cards_Display_Order = 'SET003_130' WHERE CardCode = 'SL3E-PM-P 03';</v>
      </c>
    </row>
    <row r="132" spans="1:16" x14ac:dyDescent="0.25">
      <c r="A132" t="s">
        <v>503</v>
      </c>
      <c r="B132" t="s">
        <v>508</v>
      </c>
      <c r="C132" t="s">
        <v>150</v>
      </c>
      <c r="D132" t="s">
        <v>544</v>
      </c>
      <c r="E132" t="s">
        <v>204</v>
      </c>
      <c r="F132" s="1" t="s">
        <v>205</v>
      </c>
      <c r="G132" s="1" t="s">
        <v>206</v>
      </c>
      <c r="H132" s="1" t="s">
        <v>359</v>
      </c>
      <c r="I132" t="str">
        <f t="shared" si="6"/>
        <v>('SL3E-PM-P 04','SL3E','PM-P','GO GUNHEE &amp; WOO JINCHUL       '),</v>
      </c>
      <c r="J132" t="s">
        <v>556</v>
      </c>
      <c r="K132" s="2" t="s">
        <v>687</v>
      </c>
      <c r="L132" s="3" t="str">
        <f t="shared" si="7"/>
        <v>SET003_131</v>
      </c>
      <c r="M132" t="s">
        <v>705</v>
      </c>
      <c r="N132" t="s">
        <v>706</v>
      </c>
      <c r="O132" t="s">
        <v>707</v>
      </c>
      <c r="P132" t="str">
        <f t="shared" si="8"/>
        <v>UPDATE CardPool SET cards_Display_Order = 'SET003_131' WHERE CardCode = 'SL3E-PM-P 04';</v>
      </c>
    </row>
    <row r="133" spans="1:16" x14ac:dyDescent="0.25">
      <c r="A133" t="s">
        <v>504</v>
      </c>
      <c r="B133" t="s">
        <v>508</v>
      </c>
      <c r="C133" t="s">
        <v>150</v>
      </c>
      <c r="D133" t="s">
        <v>548</v>
      </c>
      <c r="E133" t="s">
        <v>204</v>
      </c>
      <c r="F133" s="1" t="s">
        <v>205</v>
      </c>
      <c r="G133" s="1" t="s">
        <v>206</v>
      </c>
      <c r="H133" s="1" t="s">
        <v>359</v>
      </c>
      <c r="I133" t="str">
        <f t="shared" si="6"/>
        <v>('SL3E-PM-P 05','SL3E','PM-P','SUNG JINWO &amp; SUNG JINAH &amp; PARK KYUNG-HYE    '),</v>
      </c>
      <c r="J133" t="s">
        <v>556</v>
      </c>
      <c r="K133" s="2" t="s">
        <v>688</v>
      </c>
      <c r="L133" s="3" t="str">
        <f t="shared" si="7"/>
        <v>SET003_132</v>
      </c>
      <c r="M133" t="s">
        <v>705</v>
      </c>
      <c r="N133" t="s">
        <v>706</v>
      </c>
      <c r="O133" t="s">
        <v>707</v>
      </c>
      <c r="P133" t="str">
        <f t="shared" si="8"/>
        <v>UPDATE CardPool SET cards_Display_Order = 'SET003_132' WHERE CardCode = 'SL3E-PM-P 05';</v>
      </c>
    </row>
    <row r="134" spans="1:16" x14ac:dyDescent="0.25">
      <c r="A134" t="s">
        <v>505</v>
      </c>
      <c r="B134" t="s">
        <v>508</v>
      </c>
      <c r="C134" t="s">
        <v>150</v>
      </c>
      <c r="D134" t="s">
        <v>549</v>
      </c>
      <c r="E134" t="s">
        <v>204</v>
      </c>
      <c r="F134" s="1" t="s">
        <v>205</v>
      </c>
      <c r="G134" s="1" t="s">
        <v>206</v>
      </c>
      <c r="H134" s="1" t="s">
        <v>359</v>
      </c>
      <c r="I134" t="str">
        <f t="shared" si="6"/>
        <v>('SL3E-PM-P 06','SL3E','PM-P','BAEK YOONHO &amp; CHOI JONG-IN         '),</v>
      </c>
      <c r="J134" t="s">
        <v>556</v>
      </c>
      <c r="K134" s="2" t="s">
        <v>689</v>
      </c>
      <c r="L134" s="3" t="str">
        <f t="shared" si="7"/>
        <v>SET003_133</v>
      </c>
      <c r="M134" t="s">
        <v>705</v>
      </c>
      <c r="N134" t="s">
        <v>706</v>
      </c>
      <c r="O134" t="s">
        <v>707</v>
      </c>
      <c r="P134" t="str">
        <f t="shared" si="8"/>
        <v>UPDATE CardPool SET cards_Display_Order = 'SET003_133' WHERE CardCode = 'SL3E-PM-P 06';</v>
      </c>
    </row>
    <row r="135" spans="1:16" x14ac:dyDescent="0.25">
      <c r="A135" t="s">
        <v>506</v>
      </c>
      <c r="B135" t="s">
        <v>508</v>
      </c>
      <c r="C135" t="s">
        <v>150</v>
      </c>
      <c r="D135" t="s">
        <v>547</v>
      </c>
      <c r="E135" t="s">
        <v>204</v>
      </c>
      <c r="F135" s="1" t="s">
        <v>205</v>
      </c>
      <c r="G135" s="1" t="s">
        <v>206</v>
      </c>
      <c r="H135" s="1" t="s">
        <v>359</v>
      </c>
      <c r="I135" t="str">
        <f t="shared" si="6"/>
        <v>('SL3E-PM-P 07','SL3E','PM-P','SUNG JINWOO &amp; ANT KING '),</v>
      </c>
      <c r="J135" t="s">
        <v>556</v>
      </c>
      <c r="K135" s="2" t="s">
        <v>690</v>
      </c>
      <c r="L135" s="3" t="str">
        <f t="shared" si="7"/>
        <v>SET003_134</v>
      </c>
      <c r="M135" t="s">
        <v>705</v>
      </c>
      <c r="N135" t="s">
        <v>706</v>
      </c>
      <c r="O135" t="s">
        <v>707</v>
      </c>
      <c r="P135" t="str">
        <f t="shared" si="8"/>
        <v>UPDATE CardPool SET cards_Display_Order = 'SET003_134' WHERE CardCode = 'SL3E-PM-P 07';</v>
      </c>
    </row>
    <row r="136" spans="1:16" x14ac:dyDescent="0.25">
      <c r="A136" t="s">
        <v>360</v>
      </c>
      <c r="B136" t="s">
        <v>508</v>
      </c>
      <c r="C136" t="s">
        <v>148</v>
      </c>
      <c r="D136" t="s">
        <v>155</v>
      </c>
      <c r="E136" t="s">
        <v>204</v>
      </c>
      <c r="F136" s="1" t="s">
        <v>205</v>
      </c>
      <c r="G136" s="1" t="s">
        <v>206</v>
      </c>
      <c r="H136" s="1" t="s">
        <v>359</v>
      </c>
      <c r="I136" t="str">
        <f t="shared" si="6"/>
        <v>('SL3E-SEC 001','SL3E','SEC','SUNG JINWOO'),</v>
      </c>
      <c r="J136" t="s">
        <v>556</v>
      </c>
      <c r="K136" s="2" t="s">
        <v>691</v>
      </c>
      <c r="L136" s="3" t="str">
        <f t="shared" si="7"/>
        <v>SET003_135</v>
      </c>
      <c r="M136" t="s">
        <v>705</v>
      </c>
      <c r="N136" t="s">
        <v>706</v>
      </c>
      <c r="O136" t="s">
        <v>707</v>
      </c>
      <c r="P136" t="str">
        <f t="shared" si="8"/>
        <v>UPDATE CardPool SET cards_Display_Order = 'SET003_135' WHERE CardCode = 'SL3E-SEC 001';</v>
      </c>
    </row>
    <row r="137" spans="1:16" x14ac:dyDescent="0.25">
      <c r="A137" t="s">
        <v>361</v>
      </c>
      <c r="B137" t="s">
        <v>508</v>
      </c>
      <c r="C137" t="s">
        <v>148</v>
      </c>
      <c r="D137" t="s">
        <v>159</v>
      </c>
      <c r="E137" t="s">
        <v>204</v>
      </c>
      <c r="F137" s="1" t="s">
        <v>205</v>
      </c>
      <c r="G137" s="1" t="s">
        <v>206</v>
      </c>
      <c r="H137" s="1" t="s">
        <v>359</v>
      </c>
      <c r="I137" t="str">
        <f t="shared" si="6"/>
        <v>('SL3E-SEC 002','SL3E','SEC','CHA HAE-IN'),</v>
      </c>
      <c r="J137" t="s">
        <v>556</v>
      </c>
      <c r="K137" s="2" t="s">
        <v>692</v>
      </c>
      <c r="L137" s="3" t="str">
        <f t="shared" si="7"/>
        <v>SET003_136</v>
      </c>
      <c r="M137" t="s">
        <v>705</v>
      </c>
      <c r="N137" t="s">
        <v>706</v>
      </c>
      <c r="O137" t="s">
        <v>707</v>
      </c>
      <c r="P137" t="str">
        <f t="shared" si="8"/>
        <v>UPDATE CardPool SET cards_Display_Order = 'SET003_136' WHERE CardCode = 'SL3E-SEC 002';</v>
      </c>
    </row>
    <row r="138" spans="1:16" x14ac:dyDescent="0.25">
      <c r="A138" t="s">
        <v>362</v>
      </c>
      <c r="B138" t="s">
        <v>508</v>
      </c>
      <c r="C138" t="s">
        <v>148</v>
      </c>
      <c r="D138" t="s">
        <v>202</v>
      </c>
      <c r="E138" t="s">
        <v>204</v>
      </c>
      <c r="F138" s="1" t="s">
        <v>205</v>
      </c>
      <c r="G138" s="1" t="s">
        <v>206</v>
      </c>
      <c r="H138" s="1" t="s">
        <v>359</v>
      </c>
      <c r="I138" t="str">
        <f t="shared" si="6"/>
        <v>('SL3E-SEC 003','SL3E','SEC','SUNG JINWOO / CHA HAE-IN'),</v>
      </c>
      <c r="J138" t="s">
        <v>556</v>
      </c>
      <c r="K138" s="2" t="s">
        <v>693</v>
      </c>
      <c r="L138" s="3" t="str">
        <f t="shared" si="7"/>
        <v>SET003_137</v>
      </c>
      <c r="M138" t="s">
        <v>705</v>
      </c>
      <c r="N138" t="s">
        <v>706</v>
      </c>
      <c r="O138" t="s">
        <v>707</v>
      </c>
      <c r="P138" t="str">
        <f t="shared" si="8"/>
        <v>UPDATE CardPool SET cards_Display_Order = 'SET003_137' WHERE CardCode = 'SL3E-SEC 003';</v>
      </c>
    </row>
    <row r="139" spans="1:16" x14ac:dyDescent="0.25">
      <c r="A139" t="s">
        <v>363</v>
      </c>
      <c r="B139" t="s">
        <v>508</v>
      </c>
      <c r="C139" t="s">
        <v>153</v>
      </c>
      <c r="D139" t="s">
        <v>155</v>
      </c>
      <c r="E139" t="s">
        <v>204</v>
      </c>
      <c r="F139" s="1" t="s">
        <v>205</v>
      </c>
      <c r="G139" s="1" t="s">
        <v>206</v>
      </c>
      <c r="H139" s="1" t="s">
        <v>359</v>
      </c>
      <c r="I139" t="str">
        <f t="shared" si="6"/>
        <v>('SLE3-XXX','SL3E','???','SUNG JINWOO'),</v>
      </c>
      <c r="J139" t="s">
        <v>556</v>
      </c>
      <c r="K139" s="2" t="s">
        <v>694</v>
      </c>
      <c r="L139" s="3" t="str">
        <f t="shared" si="7"/>
        <v>SET003_138</v>
      </c>
      <c r="M139" t="s">
        <v>705</v>
      </c>
      <c r="N139" t="s">
        <v>706</v>
      </c>
      <c r="O139" t="s">
        <v>707</v>
      </c>
      <c r="P139" t="str">
        <f t="shared" si="8"/>
        <v>UPDATE CardPool SET cards_Display_Order = 'SET003_138' WHERE CardCode = 'SLE3-XXX';</v>
      </c>
    </row>
    <row r="140" spans="1:16" x14ac:dyDescent="0.25">
      <c r="A140" t="s">
        <v>507</v>
      </c>
      <c r="B140" t="s">
        <v>508</v>
      </c>
      <c r="C140" t="s">
        <v>149</v>
      </c>
      <c r="D140" t="s">
        <v>550</v>
      </c>
      <c r="E140" t="s">
        <v>204</v>
      </c>
      <c r="F140" s="1" t="s">
        <v>205</v>
      </c>
      <c r="G140" s="1" t="s">
        <v>206</v>
      </c>
      <c r="H140" s="1" t="s">
        <v>359</v>
      </c>
      <c r="I140" t="str">
        <f t="shared" si="6"/>
        <v>('SL3E-SG01','SL3E','SG','SUNG JINWOO &amp; BERU'),</v>
      </c>
      <c r="J140" t="s">
        <v>556</v>
      </c>
      <c r="K140" s="2" t="s">
        <v>695</v>
      </c>
      <c r="L140" s="3" t="str">
        <f t="shared" si="7"/>
        <v>SET003_139</v>
      </c>
      <c r="M140" t="s">
        <v>705</v>
      </c>
      <c r="N140" t="s">
        <v>706</v>
      </c>
      <c r="O140" t="s">
        <v>707</v>
      </c>
      <c r="P140" t="str">
        <f t="shared" si="8"/>
        <v>UPDATE CardPool SET cards_Display_Order = 'SET003_139' WHERE CardCode = 'SL3E-SG01';</v>
      </c>
    </row>
    <row r="141" spans="1:16" x14ac:dyDescent="0.25">
      <c r="A141" t="s">
        <v>364</v>
      </c>
      <c r="B141" t="s">
        <v>508</v>
      </c>
      <c r="C141" t="s">
        <v>151</v>
      </c>
      <c r="D141" t="s">
        <v>551</v>
      </c>
      <c r="E141" t="s">
        <v>204</v>
      </c>
      <c r="F141" s="1" t="s">
        <v>205</v>
      </c>
      <c r="G141" s="1" t="s">
        <v>206</v>
      </c>
      <c r="H141" s="1" t="s">
        <v>359</v>
      </c>
      <c r="I141" t="str">
        <f t="shared" si="6"/>
        <v>('SL3E-BN-001','SL3E','BN','SUNG JINWOO/CHA HAE-IN/CHOI JONG-IN/BAEK YOONHO       '),</v>
      </c>
      <c r="J141" t="s">
        <v>556</v>
      </c>
      <c r="K141" s="2" t="s">
        <v>696</v>
      </c>
      <c r="L141" s="3" t="str">
        <f t="shared" si="7"/>
        <v>SET003_140</v>
      </c>
      <c r="M141" t="s">
        <v>705</v>
      </c>
      <c r="N141" t="s">
        <v>706</v>
      </c>
      <c r="O141" t="s">
        <v>707</v>
      </c>
      <c r="P141" t="str">
        <f t="shared" si="8"/>
        <v>UPDATE CardPool SET cards_Display_Order = 'SET003_140' WHERE CardCode = 'SL3E-BN-001';</v>
      </c>
    </row>
    <row r="142" spans="1:16" x14ac:dyDescent="0.25">
      <c r="A142" t="s">
        <v>365</v>
      </c>
      <c r="B142" t="s">
        <v>508</v>
      </c>
      <c r="C142" t="s">
        <v>154</v>
      </c>
      <c r="D142" t="s">
        <v>155</v>
      </c>
      <c r="E142" t="s">
        <v>204</v>
      </c>
      <c r="F142" s="1" t="s">
        <v>205</v>
      </c>
      <c r="G142" s="1" t="s">
        <v>206</v>
      </c>
      <c r="H142" s="1" t="s">
        <v>359</v>
      </c>
      <c r="I142" t="str">
        <f t="shared" si="6"/>
        <v>('SL3E-STORE PROMO 01','SL3E','STORE','SUNG JINWOO'),</v>
      </c>
      <c r="J142" t="s">
        <v>556</v>
      </c>
      <c r="K142" s="2" t="s">
        <v>697</v>
      </c>
      <c r="L142" s="3" t="str">
        <f t="shared" si="7"/>
        <v>SET003_141</v>
      </c>
      <c r="M142" t="s">
        <v>705</v>
      </c>
      <c r="N142" t="s">
        <v>706</v>
      </c>
      <c r="O142" t="s">
        <v>707</v>
      </c>
      <c r="P142" t="str">
        <f t="shared" si="8"/>
        <v>UPDATE CardPool SET cards_Display_Order = 'SET003_141' WHERE CardCode = 'SL3E-STORE PROMO 01';</v>
      </c>
    </row>
    <row r="143" spans="1:16" x14ac:dyDescent="0.25">
      <c r="A143" t="s">
        <v>366</v>
      </c>
      <c r="B143" t="s">
        <v>508</v>
      </c>
      <c r="C143" t="s">
        <v>154</v>
      </c>
      <c r="D143" t="s">
        <v>156</v>
      </c>
      <c r="E143" t="s">
        <v>204</v>
      </c>
      <c r="F143" s="1" t="s">
        <v>205</v>
      </c>
      <c r="G143" s="1" t="s">
        <v>206</v>
      </c>
      <c r="H143" s="1" t="s">
        <v>359</v>
      </c>
      <c r="I143" t="str">
        <f t="shared" si="6"/>
        <v>('SL3E-STORE PROMO 02','SL3E','STORE','YOO JINHO'),</v>
      </c>
      <c r="J143" t="s">
        <v>556</v>
      </c>
      <c r="K143" s="2" t="s">
        <v>698</v>
      </c>
      <c r="L143" s="3" t="str">
        <f t="shared" si="7"/>
        <v>SET003_142</v>
      </c>
      <c r="M143" t="s">
        <v>705</v>
      </c>
      <c r="N143" t="s">
        <v>706</v>
      </c>
      <c r="O143" t="s">
        <v>707</v>
      </c>
      <c r="P143" t="str">
        <f t="shared" si="8"/>
        <v>UPDATE CardPool SET cards_Display_Order = 'SET003_142' WHERE CardCode = 'SL3E-STORE PROMO 02';</v>
      </c>
    </row>
    <row r="144" spans="1:16" x14ac:dyDescent="0.25">
      <c r="A144" t="s">
        <v>367</v>
      </c>
      <c r="B144" t="s">
        <v>508</v>
      </c>
      <c r="C144" t="s">
        <v>154</v>
      </c>
      <c r="D144" t="s">
        <v>157</v>
      </c>
      <c r="E144" t="s">
        <v>204</v>
      </c>
      <c r="F144" s="1" t="s">
        <v>205</v>
      </c>
      <c r="G144" s="1" t="s">
        <v>206</v>
      </c>
      <c r="H144" s="1" t="s">
        <v>359</v>
      </c>
      <c r="I144" t="str">
        <f t="shared" si="6"/>
        <v>('SL3E-STORE PROMO 03','SL3E','STORE','BAEK YOONHO'),</v>
      </c>
      <c r="J144" t="s">
        <v>556</v>
      </c>
      <c r="K144" s="2" t="s">
        <v>699</v>
      </c>
      <c r="L144" s="3" t="str">
        <f t="shared" si="7"/>
        <v>SET003_143</v>
      </c>
      <c r="M144" t="s">
        <v>705</v>
      </c>
      <c r="N144" t="s">
        <v>706</v>
      </c>
      <c r="O144" t="s">
        <v>707</v>
      </c>
      <c r="P144" t="str">
        <f t="shared" si="8"/>
        <v>UPDATE CardPool SET cards_Display_Order = 'SET003_143' WHERE CardCode = 'SL3E-STORE PROMO 03';</v>
      </c>
    </row>
    <row r="145" spans="1:16" x14ac:dyDescent="0.25">
      <c r="A145" t="s">
        <v>368</v>
      </c>
      <c r="B145" t="s">
        <v>508</v>
      </c>
      <c r="C145" t="s">
        <v>154</v>
      </c>
      <c r="D145" t="s">
        <v>552</v>
      </c>
      <c r="E145" t="s">
        <v>204</v>
      </c>
      <c r="F145" s="1" t="s">
        <v>205</v>
      </c>
      <c r="G145" s="1" t="s">
        <v>206</v>
      </c>
      <c r="H145" s="1" t="s">
        <v>359</v>
      </c>
      <c r="I145" t="str">
        <f t="shared" si="6"/>
        <v>('SL3E-STORE PROMO 04','SL3E','STORE','CHOI JONG-IN         '),</v>
      </c>
      <c r="J145" t="s">
        <v>556</v>
      </c>
      <c r="K145" s="2" t="s">
        <v>700</v>
      </c>
      <c r="L145" s="3" t="str">
        <f t="shared" si="7"/>
        <v>SET003_144</v>
      </c>
      <c r="M145" t="s">
        <v>705</v>
      </c>
      <c r="N145" t="s">
        <v>706</v>
      </c>
      <c r="O145" t="s">
        <v>707</v>
      </c>
      <c r="P145" t="str">
        <f t="shared" si="8"/>
        <v>UPDATE CardPool SET cards_Display_Order = 'SET003_144' WHERE CardCode = 'SL3E-STORE PROMO 04';</v>
      </c>
    </row>
    <row r="146" spans="1:16" x14ac:dyDescent="0.25">
      <c r="A146" t="s">
        <v>369</v>
      </c>
      <c r="B146" t="s">
        <v>508</v>
      </c>
      <c r="C146" t="s">
        <v>154</v>
      </c>
      <c r="D146" t="s">
        <v>159</v>
      </c>
      <c r="E146" t="s">
        <v>204</v>
      </c>
      <c r="F146" s="1" t="s">
        <v>205</v>
      </c>
      <c r="G146" s="1" t="s">
        <v>206</v>
      </c>
      <c r="H146" s="1" t="s">
        <v>359</v>
      </c>
      <c r="I146" t="str">
        <f t="shared" si="6"/>
        <v>('SL3E-STORE PROMO 05','SL3E','STORE','CHA HAE-IN'),</v>
      </c>
      <c r="J146" t="s">
        <v>556</v>
      </c>
      <c r="K146" s="2" t="s">
        <v>701</v>
      </c>
      <c r="L146" s="3" t="str">
        <f t="shared" si="7"/>
        <v>SET003_145</v>
      </c>
      <c r="M146" t="s">
        <v>705</v>
      </c>
      <c r="N146" t="s">
        <v>706</v>
      </c>
      <c r="O146" t="s">
        <v>707</v>
      </c>
      <c r="P146" t="str">
        <f t="shared" si="8"/>
        <v>UPDATE CardPool SET cards_Display_Order = 'SET003_145' WHERE CardCode = 'SL3E-STORE PROMO 05';</v>
      </c>
    </row>
    <row r="147" spans="1:16" x14ac:dyDescent="0.25">
      <c r="A147" t="s">
        <v>370</v>
      </c>
      <c r="B147" t="s">
        <v>508</v>
      </c>
      <c r="C147" t="s">
        <v>154</v>
      </c>
      <c r="D147" t="s">
        <v>161</v>
      </c>
      <c r="E147" t="s">
        <v>204</v>
      </c>
      <c r="F147" s="1" t="s">
        <v>205</v>
      </c>
      <c r="G147" s="1" t="s">
        <v>206</v>
      </c>
      <c r="H147" s="1" t="s">
        <v>359</v>
      </c>
      <c r="I147" t="str">
        <f t="shared" si="6"/>
        <v>('SL3E-STORE PROMO 06','SL3E','STORE','GO GUNHEE'),</v>
      </c>
      <c r="J147" t="s">
        <v>556</v>
      </c>
      <c r="K147" s="2" t="s">
        <v>702</v>
      </c>
      <c r="L147" s="3" t="str">
        <f t="shared" si="7"/>
        <v>SET003_146</v>
      </c>
      <c r="M147" t="s">
        <v>705</v>
      </c>
      <c r="N147" t="s">
        <v>706</v>
      </c>
      <c r="O147" t="s">
        <v>707</v>
      </c>
      <c r="P147" t="str">
        <f t="shared" si="8"/>
        <v>UPDATE CardPool SET cards_Display_Order = 'SET003_146' WHERE CardCode = 'SL3E-STORE PROMO 06';</v>
      </c>
    </row>
    <row r="148" spans="1:16" x14ac:dyDescent="0.25">
      <c r="A148" t="s">
        <v>371</v>
      </c>
      <c r="B148" t="s">
        <v>508</v>
      </c>
      <c r="C148" t="s">
        <v>154</v>
      </c>
      <c r="D148" t="s">
        <v>160</v>
      </c>
      <c r="E148" t="s">
        <v>204</v>
      </c>
      <c r="F148" s="1" t="s">
        <v>205</v>
      </c>
      <c r="G148" s="1" t="s">
        <v>206</v>
      </c>
      <c r="H148" s="1" t="s">
        <v>359</v>
      </c>
      <c r="I148" t="str">
        <f t="shared" si="6"/>
        <v>('SL3E-STORE PROMO 07','SL3E','STORE','WOO JINCHUL'),</v>
      </c>
      <c r="J148" t="s">
        <v>556</v>
      </c>
      <c r="K148" s="2" t="s">
        <v>703</v>
      </c>
      <c r="L148" s="3" t="str">
        <f t="shared" si="7"/>
        <v>SET003_147</v>
      </c>
      <c r="M148" t="s">
        <v>705</v>
      </c>
      <c r="N148" t="s">
        <v>706</v>
      </c>
      <c r="O148" t="s">
        <v>707</v>
      </c>
      <c r="P148" t="str">
        <f t="shared" si="8"/>
        <v>UPDATE CardPool SET cards_Display_Order = 'SET003_147' WHERE CardCode = 'SL3E-STORE PROMO 07';</v>
      </c>
    </row>
    <row r="149" spans="1:16" x14ac:dyDescent="0.25">
      <c r="A149" t="s">
        <v>372</v>
      </c>
      <c r="B149" t="s">
        <v>508</v>
      </c>
      <c r="C149" t="s">
        <v>154</v>
      </c>
      <c r="D149" t="s">
        <v>185</v>
      </c>
      <c r="E149" t="s">
        <v>204</v>
      </c>
      <c r="F149" s="1" t="s">
        <v>205</v>
      </c>
      <c r="G149" s="1" t="s">
        <v>206</v>
      </c>
      <c r="H149" s="1" t="s">
        <v>359</v>
      </c>
      <c r="I149" t="str">
        <f t="shared" si="6"/>
        <v>('SL3E-STORE PROMO 08','SL3E','STORE','IGRIS'),</v>
      </c>
      <c r="J149" t="s">
        <v>556</v>
      </c>
      <c r="K149" s="2" t="s">
        <v>704</v>
      </c>
      <c r="L149" s="3" t="str">
        <f t="shared" si="7"/>
        <v>SET003_148</v>
      </c>
      <c r="M149" t="s">
        <v>705</v>
      </c>
      <c r="N149" t="s">
        <v>706</v>
      </c>
      <c r="O149" t="s">
        <v>707</v>
      </c>
      <c r="P149" t="str">
        <f t="shared" si="8"/>
        <v>UPDATE CardPool SET cards_Display_Order = 'SET003_148' WHERE CardCode = 'SL3E-STORE PROMO 08';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SL1E</vt:lpstr>
      <vt:lpstr>SL2E</vt:lpstr>
      <vt:lpstr>SL3E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Terzoli</dc:creator>
  <cp:lastModifiedBy>Roberto Terzoli</cp:lastModifiedBy>
  <dcterms:created xsi:type="dcterms:W3CDTF">2026-06-22T07:39:44Z</dcterms:created>
  <dcterms:modified xsi:type="dcterms:W3CDTF">2026-07-09T11:30:03Z</dcterms:modified>
</cp:coreProperties>
</file>